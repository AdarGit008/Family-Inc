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eople" sheetId="2" state="visible" r:id="rId2"/>
    <sheet name="Calendars" sheetId="3" state="visible" r:id="rId3"/>
    <sheet name="Calendar-Events" sheetId="4" state="visible" r:id="rId4"/>
    <sheet name="Reminders" sheetId="5" state="visible" r:id="rId5"/>
    <sheet name="Finance-Accts" sheetId="6" state="visible" r:id="rId6"/>
    <sheet name="Finance-Txns" sheetId="7" state="visible" r:id="rId7"/>
    <sheet name="Finance-Bdgt" sheetId="8" state="visible" r:id="rId8"/>
    <sheet name="Goals" sheetId="9" state="visible" r:id="rId9"/>
    <sheet name="Education" sheetId="10" state="visible" r:id="rId10"/>
    <sheet name="Health" sheetId="11" state="visible" r:id="rId11"/>
    <sheet name="Car" sheetId="12" state="visible" r:id="rId12"/>
    <sheet name="Contacts" sheetId="13" state="visible" r:id="rId13"/>
    <sheet name="Contracts" sheetId="14" state="visible" r:id="rId14"/>
    <sheet name="Lists" sheetId="15" state="hidden" r:id="rId15"/>
    <sheet name="Settings" sheetId="16" state="visible" r:id="rId16"/>
    <sheet name="WhatsApp_Inbox" sheetId="17" state="visible" r:id="rId17"/>
    <sheet name="WhatsApp_Archive" sheetId="18" state="visible" r:id="rId1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;\(#,##0\);\-"/>
    <numFmt numFmtId="166" formatCode="0.0%;\-0.0%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i val="1"/>
      <color rgb="FF7F7F7F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7F6000"/>
      <sz val="10"/>
    </font>
    <font>
      <name val="Arial"/>
      <charset val="1"/>
      <family val="0"/>
      <sz val="10"/>
    </font>
    <font>
      <name val="Cambria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Cambria"/>
      <charset val="1"/>
      <family val="0"/>
      <b val="1"/>
      <i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D9D9D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left" vertical="center" wrapText="1"/>
    </xf>
    <xf numFmtId="164" fontId="10" fillId="3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5" fontId="10" fillId="3" borderId="2" applyAlignment="1" pivotButton="0" quotePrefix="0" xfId="0">
      <alignment horizontal="left" vertical="center" wrapText="1"/>
    </xf>
    <xf numFmtId="165" fontId="6" fillId="0" borderId="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bottom"/>
    </xf>
    <xf numFmtId="0" fontId="13" fillId="4" borderId="3" applyAlignment="1" pivotButton="0" quotePrefix="0" xfId="0">
      <alignment horizontal="general" vertical="bottom"/>
    </xf>
    <xf numFmtId="165" fontId="13" fillId="4" borderId="3" applyAlignment="1" pivotButton="0" quotePrefix="0" xfId="0">
      <alignment horizontal="general" vertical="bottom"/>
    </xf>
    <xf numFmtId="166" fontId="13" fillId="4" borderId="3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left" vertical="center" wrapText="1"/>
    </xf>
    <xf numFmtId="164" fontId="10" fillId="3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5" fontId="10" fillId="3" borderId="2" applyAlignment="1" pivotButton="0" quotePrefix="0" xfId="0">
      <alignment horizontal="left" vertical="center" wrapText="1"/>
    </xf>
    <xf numFmtId="165" fontId="6" fillId="0" borderId="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bottom"/>
    </xf>
    <xf numFmtId="164" fontId="0" fillId="0" borderId="0" applyAlignment="1" pivotButton="0" quotePrefix="0" xfId="0">
      <alignment horizontal="general" vertical="bottom"/>
    </xf>
    <xf numFmtId="166" fontId="6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bottom"/>
    </xf>
    <xf numFmtId="0" fontId="13" fillId="4" borderId="3" applyAlignment="1" pivotButton="0" quotePrefix="0" xfId="0">
      <alignment horizontal="general" vertical="bottom"/>
    </xf>
    <xf numFmtId="165" fontId="13" fillId="4" borderId="3" applyAlignment="1" pivotButton="0" quotePrefix="0" xfId="0">
      <alignment horizontal="general" vertical="bottom"/>
    </xf>
    <xf numFmtId="166" fontId="13" fillId="4" borderId="3" applyAlignment="1" pivotButton="0" quotePrefix="0" xfId="0">
      <alignment horizontal="general" vertical="bottom"/>
    </xf>
    <xf numFmtId="0" fontId="14" fillId="4" borderId="3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FE699"/>
        </patternFill>
      </fill>
    </dxf>
    <dxf>
      <font>
        <i val="1"/>
        <color rgb="FF7F7F7F"/>
      </font>
      <fill>
        <patternFill>
          <bgColor rgb="FFEDEDED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0" customWidth="1" style="27" min="1" max="1"/>
  </cols>
  <sheetData>
    <row r="1" ht="24" customHeight="1" s="28">
      <c r="A1" s="29" t="inlineStr">
        <is>
          <t>Family inc. — Master Operating Sheet</t>
        </is>
      </c>
    </row>
    <row r="2" ht="15" customHeight="1" s="28">
      <c r="A2" s="30" t="inlineStr">
        <is>
          <t>Last updated: 2026-05-27 (added Calendar-Events tab for Phase 1)</t>
        </is>
      </c>
    </row>
    <row r="3" ht="15" customHeight="1" s="28">
      <c r="A3" s="31" t="n"/>
    </row>
    <row r="4" ht="15.75" customHeight="1" s="28">
      <c r="A4" s="32" t="inlineStr">
        <is>
          <t>How to use this workbook</t>
        </is>
      </c>
    </row>
    <row r="5" ht="15" customHeight="1" s="28">
      <c r="A5" s="31" t="n"/>
    </row>
    <row r="6" ht="15" customHeight="1" s="28">
      <c r="A6" s="31" t="inlineStr">
        <is>
          <t>1. Upload this file to Google Drive, right-click → Open with → Google Sheets.</t>
        </is>
      </c>
    </row>
    <row r="7" ht="15" customHeight="1" s="28">
      <c r="A7" s="33" t="inlineStr">
        <is>
          <t xml:space="preserve">   That creates a Google Sheets version that all automations will read from.</t>
        </is>
      </c>
    </row>
    <row r="8" ht="15" customHeight="1" s="28">
      <c r="A8" s="31" t="n"/>
    </row>
    <row r="9" ht="15" customHeight="1" s="28">
      <c r="A9" s="31" t="inlineStr">
        <is>
          <t>2. Each tab is a domain. Yellow rows are SAMPLE entries — replace them with your real data, then change the cell color to white.</t>
        </is>
      </c>
    </row>
    <row r="10" ht="15" customHeight="1" s="28">
      <c r="A10" s="31" t="n"/>
    </row>
    <row r="11" ht="15" customHeight="1" s="28">
      <c r="A11" s="31" t="inlineStr">
        <is>
          <t>3. The 'Reminders' tab is the heart of the system. Every domain (Health, Car, Education, Finance, Contracts) writes its due-dates here. One daily automation reads this tab and decides whether to send a WhatsApp alert today.</t>
        </is>
      </c>
    </row>
    <row r="12" ht="15" customHeight="1" s="28">
      <c r="A12" s="31" t="n"/>
    </row>
    <row r="13" ht="15" customHeight="1" s="28">
      <c r="A13" s="31" t="inlineStr">
        <is>
          <t>4. Don't rename tabs or columns. Automations key off exact names.</t>
        </is>
      </c>
    </row>
    <row r="14" ht="15" customHeight="1" s="28">
      <c r="A14" s="31" t="n"/>
    </row>
    <row r="15" ht="15" customHeight="1" s="28">
      <c r="A15" s="31" t="inlineStr">
        <is>
          <t>5. To add a new family member, add a row in 'People' first — then reference their name elsewhere.</t>
        </is>
      </c>
    </row>
    <row r="16" ht="15" customHeight="1" s="28">
      <c r="A16" s="31" t="n"/>
    </row>
    <row r="17" ht="15.75" customHeight="1" s="28">
      <c r="A17" s="32" t="inlineStr">
        <is>
          <t>Domain tabs</t>
        </is>
      </c>
    </row>
    <row r="18" ht="15" customHeight="1" s="28">
      <c r="A18" s="31" t="n"/>
    </row>
    <row r="19" ht="15" customHeight="1" s="28">
      <c r="A19" s="33" t="inlineStr">
        <is>
          <t xml:space="preserve">  People         — household members, IDs, Kupot Holim, allergies</t>
        </is>
      </c>
    </row>
    <row r="20" ht="15" customHeight="1" s="28">
      <c r="A20" s="33" t="inlineStr">
        <is>
          <t xml:space="preserve">  Calendars      — registered Google + iCloud calendars and color codes</t>
        </is>
      </c>
    </row>
    <row r="21" ht="15" customHeight="1" s="28">
      <c r="A21" s="33" t="inlineStr">
        <is>
          <t xml:space="preserve">  Reminders      — the central reminder table (every domain writes here)</t>
        </is>
      </c>
    </row>
    <row r="22" ht="15" customHeight="1" s="28">
      <c r="A22" s="33" t="inlineStr">
        <is>
          <t xml:space="preserve">  Finance-Accts  — bank/card accounts; updated by monthly CSV import</t>
        </is>
      </c>
    </row>
    <row r="23" ht="15" customHeight="1" s="28">
      <c r="A23" s="33" t="inlineStr">
        <is>
          <t xml:space="preserve">  Finance-Txns   — append-only transaction ledger</t>
        </is>
      </c>
    </row>
    <row r="24" ht="15" customHeight="1" s="28">
      <c r="A24" s="33" t="inlineStr">
        <is>
          <t xml:space="preserve">  Finance-Bdgt   — monthly budget by category, actuals vs targets</t>
        </is>
      </c>
    </row>
    <row r="25" ht="15" customHeight="1" s="28">
      <c r="A25" s="33" t="inlineStr">
        <is>
          <t xml:space="preserve">  Goals          — 3-5 year goals, 90-day milestones, progress</t>
        </is>
      </c>
    </row>
    <row r="26" ht="15" customHeight="1" s="28">
      <c r="A26" s="33" t="inlineStr">
        <is>
          <t xml:space="preserve">  Education      — per-child school/preschool, key dates, contacts</t>
        </is>
      </c>
    </row>
    <row r="27" ht="15" customHeight="1" s="28">
      <c r="A27" s="33" t="inlineStr">
        <is>
          <t xml:space="preserve">  Health         — per-person providers, last visit, next due, vaccines</t>
        </is>
      </c>
    </row>
    <row r="28" ht="15" customHeight="1" s="28">
      <c r="A28" s="33" t="inlineStr">
        <is>
          <t xml:space="preserve">  Car            — vehicles, test/insurance/license dates, mechanic</t>
        </is>
      </c>
    </row>
    <row r="29" ht="15" customHeight="1" s="28">
      <c r="A29" s="33" t="inlineStr">
        <is>
          <t xml:space="preserve">  Contacts       — people directory (doctors, teachers, tradespeople)</t>
        </is>
      </c>
    </row>
    <row r="30" ht="15" customHeight="1" s="28">
      <c r="A30" s="33" t="inlineStr">
        <is>
          <t xml:space="preserve">  Contracts      — insurance, mortgage, utilities, renewal dates</t>
        </is>
      </c>
    </row>
    <row r="31" ht="15" customHeight="1" s="28">
      <c r="A31" s="31" t="n"/>
    </row>
    <row r="32" ht="15.75" customHeight="1" s="28">
      <c r="A32" s="32" t="inlineStr">
        <is>
          <t>What Cowork will do with this</t>
        </is>
      </c>
    </row>
    <row r="33" ht="15" customHeight="1" s="28">
      <c r="A33" s="31" t="n"/>
    </row>
    <row r="34" ht="15" customHeight="1" s="28">
      <c r="A34" s="33" t="inlineStr">
        <is>
          <t xml:space="preserve">  - Daily 07:30: scan Reminders tab → fire WhatsApp alerts for today's due items</t>
        </is>
      </c>
    </row>
    <row r="35" ht="15" customHeight="1" s="28">
      <c r="A35" s="33" t="inlineStr">
        <is>
          <t xml:space="preserve">  - Sunday 18:00: full weekly family briefing across all domains → WhatsApp</t>
        </is>
      </c>
    </row>
    <row r="36" ht="15" customHeight="1" s="28">
      <c r="A36" s="33" t="inlineStr">
        <is>
          <t xml:space="preserve">  - Monthly 1st: import any new finance CSVs, categorize, send digest with anomalies</t>
        </is>
      </c>
    </row>
    <row r="37" ht="15" customHeight="1" s="28">
      <c r="A37" s="33" t="inlineStr">
        <is>
          <t xml:space="preserve">  - Friday 17:00: long-term goals progress report</t>
        </is>
      </c>
    </row>
    <row r="38" ht="15" customHeight="1" s="28">
      <c r="A38" s="31" t="n"/>
    </row>
    <row r="39" ht="15.75" customHeight="1" s="28">
      <c r="A39" s="32" t="inlineStr">
        <is>
          <t>Off-limits</t>
        </is>
      </c>
    </row>
    <row r="40" ht="15" customHeight="1" s="28">
      <c r="A40" s="31" t="n"/>
    </row>
    <row r="41" ht="15" customHeight="1" s="28">
      <c r="A41" s="33" t="inlineStr">
        <is>
          <t xml:space="preserve">  - Do not put account passwords, OTP secrets, or 2FA codes in this file.</t>
        </is>
      </c>
    </row>
    <row r="42" ht="15" customHeight="1" s="28">
      <c r="A42" s="33" t="inlineStr">
        <is>
          <t xml:space="preserve">  - Do not put credit card full numbers (last 4 digits only).</t>
        </is>
      </c>
    </row>
    <row r="43" ht="15" customHeight="1" s="28">
      <c r="A43" s="33" t="inlineStr">
        <is>
          <t xml:space="preserve">  - Account credentials should live in a password manager, not 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12" customWidth="1" style="27" min="2" max="3"/>
    <col width="14" customWidth="1" style="27" min="4" max="4"/>
    <col width="12" customWidth="1" style="27" min="5" max="5"/>
    <col width="18" customWidth="1" style="27" min="6" max="6"/>
    <col width="11" customWidth="1" style="27" min="7" max="7"/>
    <col width="18" customWidth="1" style="27" min="8" max="8"/>
    <col width="28" customWidth="1" style="27" min="9" max="9"/>
  </cols>
  <sheetData>
    <row r="1" ht="27.75" customHeight="1" s="28">
      <c r="A1" s="34" t="inlineStr">
        <is>
          <t>Name</t>
        </is>
      </c>
      <c r="B1" s="34" t="inlineStr">
        <is>
          <t>Role</t>
        </is>
      </c>
      <c r="C1" s="34" t="inlineStr">
        <is>
          <t>Date of Birth</t>
        </is>
      </c>
      <c r="D1" s="34" t="inlineStr">
        <is>
          <t>Teudat Zehut</t>
        </is>
      </c>
      <c r="E1" s="34" t="inlineStr">
        <is>
          <t>Kupat Holim</t>
        </is>
      </c>
      <c r="F1" s="34" t="inlineStr">
        <is>
          <t>Primary Doctor</t>
        </is>
      </c>
      <c r="G1" s="34" t="inlineStr">
        <is>
          <t>Blood Type</t>
        </is>
      </c>
      <c r="H1" s="34" t="inlineStr">
        <is>
          <t>Allergies</t>
        </is>
      </c>
      <c r="I1" s="34" t="inlineStr">
        <is>
          <t>Notes</t>
        </is>
      </c>
    </row>
    <row r="2" ht="36" customHeight="1" s="28">
      <c r="A2" s="35" t="inlineStr">
        <is>
          <t>[Adar]</t>
        </is>
      </c>
      <c r="B2" s="35" t="inlineStr">
        <is>
          <t>Parent</t>
        </is>
      </c>
      <c r="C2" s="36" t="n">
        <v>31048</v>
      </c>
      <c r="D2" s="35" t="inlineStr">
        <is>
          <t>000000000</t>
        </is>
      </c>
      <c r="E2" s="35" t="inlineStr">
        <is>
          <t>Clalit</t>
        </is>
      </c>
      <c r="F2" s="35" t="inlineStr">
        <is>
          <t>Dr. Cohen</t>
        </is>
      </c>
      <c r="G2" s="35" t="inlineStr">
        <is>
          <t>O+</t>
        </is>
      </c>
      <c r="H2" s="35" t="inlineStr">
        <is>
          <t>None</t>
        </is>
      </c>
      <c r="I2" s="35" t="inlineStr">
        <is>
          <t>Replace with real values</t>
        </is>
      </c>
    </row>
    <row r="3" ht="36" customHeight="1" s="28">
      <c r="A3" s="35" t="inlineStr">
        <is>
          <t>[Partner]</t>
        </is>
      </c>
      <c r="B3" s="35" t="inlineStr">
        <is>
          <t>Parent</t>
        </is>
      </c>
      <c r="C3" s="36" t="n">
        <v>31413</v>
      </c>
      <c r="D3" s="35" t="inlineStr">
        <is>
          <t>000000000</t>
        </is>
      </c>
      <c r="E3" s="35" t="inlineStr">
        <is>
          <t>Maccabi</t>
        </is>
      </c>
      <c r="F3" s="35" t="inlineStr">
        <is>
          <t>Dr. Levi</t>
        </is>
      </c>
      <c r="G3" s="35" t="inlineStr">
        <is>
          <t>A+</t>
        </is>
      </c>
      <c r="H3" s="35" t="inlineStr">
        <is>
          <t>Peanuts</t>
        </is>
      </c>
      <c r="I3" s="35" t="n"/>
    </row>
    <row r="4" ht="36" customHeight="1" s="28">
      <c r="A4" s="35" t="inlineStr">
        <is>
          <t>[Child 1]</t>
        </is>
      </c>
      <c r="B4" s="35" t="inlineStr">
        <is>
          <t>Child</t>
        </is>
      </c>
      <c r="C4" s="36" t="n">
        <v>43101</v>
      </c>
      <c r="D4" s="35" t="inlineStr">
        <is>
          <t>000000000</t>
        </is>
      </c>
      <c r="E4" s="35" t="inlineStr">
        <is>
          <t>Clalit</t>
        </is>
      </c>
      <c r="F4" s="35" t="inlineStr">
        <is>
          <t>Dr. Cohen</t>
        </is>
      </c>
      <c r="G4" s="35" t="inlineStr">
        <is>
          <t>?</t>
        </is>
      </c>
      <c r="H4" s="35" t="inlineStr">
        <is>
          <t>None</t>
        </is>
      </c>
      <c r="I4" s="35" t="n"/>
    </row>
    <row r="5" ht="36" customHeight="1" s="28">
      <c r="A5" s="35" t="inlineStr">
        <is>
          <t>[Child 2]</t>
        </is>
      </c>
      <c r="B5" s="35" t="inlineStr">
        <is>
          <t>Child</t>
        </is>
      </c>
      <c r="C5" s="36" t="n">
        <v>44197</v>
      </c>
      <c r="D5" s="35" t="inlineStr">
        <is>
          <t>000000000</t>
        </is>
      </c>
      <c r="E5" s="35" t="inlineStr">
        <is>
          <t>Clalit</t>
        </is>
      </c>
      <c r="F5" s="35" t="inlineStr">
        <is>
          <t>Dr. Cohen</t>
        </is>
      </c>
      <c r="G5" s="35" t="inlineStr">
        <is>
          <t>?</t>
        </is>
      </c>
      <c r="H5" s="35" t="inlineStr">
        <is>
          <t>Dairy</t>
        </is>
      </c>
      <c r="I5" s="35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</sheetData>
  <dataValidations count="3">
    <dataValidation sqref="B2:B1000" showDropDown="0" showInputMessage="0" showErrorMessage="0" allowBlank="1" type="list" errorStyle="stop" operator="between">
      <formula1>"Parent,Child,Extended family,Other"</formula1>
      <formula2>0</formula2>
    </dataValidation>
    <dataValidation sqref="E2:E1000" showDropDown="0" showInputMessage="0" showErrorMessage="0" allowBlank="1" errorTitle="Invalid Kupat" error="Pick from: Clalit, Maccabi, Meuhedet, Leumit, Other…" type="list" errorStyle="stop" operator="between">
      <formula1>Lists!$O$3:$O$7</formula1>
      <formula2>0</formula2>
    </dataValidation>
    <dataValidation sqref="G2:G1000" showDropDown="0" showInputMessage="0" showErrorMessage="0" allowBlank="1" errorTitle="Invalid BloodType" error="Pick from: A+, A-, B+, B-, O+, O-…" type="list" errorStyle="stop" operator="between">
      <formula1>Lists!$N$3:$N$11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27" min="1" max="1"/>
    <col width="16" customWidth="1" style="27" min="2" max="4"/>
    <col width="18" customWidth="1" style="27" min="5" max="5"/>
    <col width="16" customWidth="1" style="27" min="6" max="6"/>
    <col width="30" customWidth="1" style="27" min="7" max="7"/>
  </cols>
  <sheetData>
    <row r="1" ht="27.75" customHeight="1" s="28">
      <c r="A1" s="34" t="inlineStr">
        <is>
          <t>Calendar Name</t>
        </is>
      </c>
      <c r="B1" s="34" t="inlineStr">
        <is>
          <t>Source</t>
        </is>
      </c>
      <c r="C1" s="34" t="inlineStr">
        <is>
          <t>Owner</t>
        </is>
      </c>
      <c r="D1" s="34" t="inlineStr">
        <is>
          <t>Color</t>
        </is>
      </c>
      <c r="E1" s="34" t="inlineStr">
        <is>
          <t>Sync Direction</t>
        </is>
      </c>
      <c r="F1" s="34" t="inlineStr">
        <is>
          <t>Last Synced</t>
        </is>
      </c>
      <c r="G1" s="34" t="inlineStr">
        <is>
          <t>Notes</t>
        </is>
      </c>
    </row>
    <row r="2" ht="36" customHeight="1" s="28">
      <c r="A2" s="35" t="inlineStr">
        <is>
          <t>[Adar — Personal]</t>
        </is>
      </c>
      <c r="B2" s="35" t="inlineStr">
        <is>
          <t>Google</t>
        </is>
      </c>
      <c r="C2" s="35" t="inlineStr">
        <is>
          <t>Adar</t>
        </is>
      </c>
      <c r="D2" s="35" t="inlineStr">
        <is>
          <t>Blue</t>
        </is>
      </c>
      <c r="E2" s="35" t="inlineStr">
        <is>
          <t>Read</t>
        </is>
      </c>
      <c r="F2" s="35" t="n"/>
      <c r="G2" s="35" t="inlineStr">
        <is>
          <t>Primary Google calendar</t>
        </is>
      </c>
    </row>
    <row r="3" ht="36" customHeight="1" s="28">
      <c r="A3" s="35" t="inlineStr">
        <is>
          <t>[Partner — Personal]</t>
        </is>
      </c>
      <c r="B3" s="35" t="inlineStr">
        <is>
          <t>iCloud</t>
        </is>
      </c>
      <c r="C3" s="35" t="inlineStr">
        <is>
          <t>Partner</t>
        </is>
      </c>
      <c r="D3" s="35" t="inlineStr">
        <is>
          <t>Pink</t>
        </is>
      </c>
      <c r="E3" s="35" t="inlineStr">
        <is>
          <t>Read (CalDAV)</t>
        </is>
      </c>
      <c r="F3" s="35" t="n"/>
      <c r="G3" s="35" t="inlineStr">
        <is>
          <t>Use app-specific password</t>
        </is>
      </c>
    </row>
    <row r="4" ht="36" customHeight="1" s="28">
      <c r="A4" s="35" t="inlineStr">
        <is>
          <t>[Family Shared]</t>
        </is>
      </c>
      <c r="B4" s="35" t="inlineStr">
        <is>
          <t>Google</t>
        </is>
      </c>
      <c r="C4" s="35" t="inlineStr">
        <is>
          <t>Both</t>
        </is>
      </c>
      <c r="D4" s="35" t="inlineStr">
        <is>
          <t>Green</t>
        </is>
      </c>
      <c r="E4" s="35" t="inlineStr">
        <is>
          <t>Read/Write</t>
        </is>
      </c>
      <c r="F4" s="35" t="n"/>
      <c r="G4" s="35" t="inlineStr">
        <is>
          <t>Shared events live here</t>
        </is>
      </c>
    </row>
    <row r="5" ht="36" customHeight="1" s="28">
      <c r="A5" s="35" t="inlineStr">
        <is>
          <t>[Kids — Preschool]</t>
        </is>
      </c>
      <c r="B5" s="35" t="inlineStr">
        <is>
          <t>Google</t>
        </is>
      </c>
      <c r="C5" s="35" t="inlineStr">
        <is>
          <t>Both</t>
        </is>
      </c>
      <c r="D5" s="35" t="inlineStr">
        <is>
          <t>Orange</t>
        </is>
      </c>
      <c r="E5" s="35" t="inlineStr">
        <is>
          <t>Read</t>
        </is>
      </c>
      <c r="F5" s="35" t="n"/>
      <c r="G5" s="35" t="inlineStr">
        <is>
          <t>Subscribed from preschool</t>
        </is>
      </c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</row>
  </sheetData>
  <dataValidations count="2"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E2:E1000" showDropDown="0" showInputMessage="0" showErrorMessage="0" allowBlank="1" errorTitle="Invalid SyncDir" error="Pick from: Read, Write, Read-Write, Disabled…" type="list" errorStyle="stop" operator="between">
      <formula1>Lists!$H$3:$H$6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8" customWidth="1" style="27" min="2" max="3"/>
    <col width="34" customWidth="1" style="27" min="4" max="4"/>
    <col width="12" customWidth="1" style="27" min="5" max="5"/>
    <col width="18" customWidth="1" style="27" min="6" max="6"/>
    <col width="22" customWidth="1" style="27" min="7" max="7"/>
    <col width="28" customWidth="1" style="27" min="8" max="8"/>
  </cols>
  <sheetData>
    <row r="1" ht="27.75" customHeight="1" s="28">
      <c r="A1" s="38" t="inlineStr">
        <is>
          <t>Date</t>
        </is>
      </c>
      <c r="B1" s="38" t="inlineStr">
        <is>
          <t>Start</t>
        </is>
      </c>
      <c r="C1" s="38" t="inlineStr">
        <is>
          <t>End</t>
        </is>
      </c>
      <c r="D1" s="38" t="inlineStr">
        <is>
          <t>Title</t>
        </is>
      </c>
      <c r="E1" s="38" t="inlineStr">
        <is>
          <t>Owner</t>
        </is>
      </c>
      <c r="F1" s="38" t="inlineStr">
        <is>
          <t>Source</t>
        </is>
      </c>
      <c r="G1" s="38" t="inlineStr">
        <is>
          <t>Location</t>
        </is>
      </c>
      <c r="H1" s="38" t="inlineStr">
        <is>
          <t>Notes</t>
        </is>
      </c>
    </row>
    <row r="2" ht="15" customHeight="1" s="28">
      <c r="A2" s="39" t="n">
        <v>46171</v>
      </c>
      <c r="B2" s="40" t="inlineStr">
        <is>
          <t>19:00</t>
        </is>
      </c>
      <c r="C2" s="40" t="inlineStr">
        <is>
          <t>20:30</t>
        </is>
      </c>
      <c r="D2" s="40" t="inlineStr">
        <is>
          <t>Date night</t>
        </is>
      </c>
      <c r="E2" s="40" t="inlineStr">
        <is>
          <t>Both</t>
        </is>
      </c>
      <c r="F2" s="40" t="inlineStr">
        <is>
          <t>Manual</t>
        </is>
      </c>
      <c r="G2" s="40" t="inlineStr">
        <is>
          <t>Cafe Levinsky</t>
        </is>
      </c>
      <c r="H2" s="40" t="n"/>
    </row>
    <row r="3" ht="15" customHeight="1" s="28">
      <c r="A3" s="39" t="n">
        <v>46176</v>
      </c>
      <c r="B3" s="40" t="n"/>
      <c r="C3" s="40" t="n"/>
      <c r="D3" s="40" t="inlineStr">
        <is>
          <t>Sunday review</t>
        </is>
      </c>
      <c r="E3" s="40" t="inlineStr">
        <is>
          <t>Both</t>
        </is>
      </c>
      <c r="F3" s="40" t="inlineStr">
        <is>
          <t>Manual</t>
        </is>
      </c>
      <c r="G3" s="40" t="inlineStr">
        <is>
          <t>Home</t>
        </is>
      </c>
      <c r="H3" s="40" t="inlineStr">
        <is>
          <t>Sunday family operating ritual</t>
        </is>
      </c>
    </row>
    <row r="4" ht="15" customHeight="1" s="28">
      <c r="A4" s="39" t="n">
        <v>46179</v>
      </c>
      <c r="B4" s="40" t="inlineStr">
        <is>
          <t>20:00</t>
        </is>
      </c>
      <c r="C4" s="40" t="inlineStr">
        <is>
          <t>21:30</t>
        </is>
      </c>
      <c r="D4" s="40" t="inlineStr">
        <is>
          <t>Adar's cousin's birthday</t>
        </is>
      </c>
      <c r="E4" s="40" t="inlineStr">
        <is>
          <t>Adar</t>
        </is>
      </c>
      <c r="F4" s="40" t="inlineStr">
        <is>
          <t>iCloud</t>
        </is>
      </c>
      <c r="G4" s="40" t="inlineStr">
        <is>
          <t>Tel Aviv</t>
        </is>
      </c>
      <c r="H4" s="40" t="inlineStr">
        <is>
          <t>Bring small gift</t>
        </is>
      </c>
    </row>
    <row r="5" ht="15" customHeight="1" s="28">
      <c r="A5" s="39" t="n">
        <v>46183</v>
      </c>
      <c r="B5" s="40" t="n"/>
      <c r="C5" s="40" t="n"/>
      <c r="D5" s="40" t="inlineStr">
        <is>
          <t>Quarterly savings transfer</t>
        </is>
      </c>
      <c r="E5" s="40" t="inlineStr">
        <is>
          <t>Adar</t>
        </is>
      </c>
      <c r="F5" s="40" t="inlineStr">
        <is>
          <t>System</t>
        </is>
      </c>
      <c r="G5" s="40" t="inlineStr">
        <is>
          <t>Reminders tab</t>
        </is>
      </c>
      <c r="H5" s="40" t="inlineStr">
        <is>
          <t>Auto-linked from Reminders row 8</t>
        </is>
      </c>
    </row>
    <row r="6" ht="15" customHeight="1" s="28"/>
    <row r="7" ht="15" customHeight="1" s="28"/>
    <row r="8" ht="15" customHeight="1" s="28"/>
    <row r="9" ht="15" customHeight="1" s="28"/>
    <row r="10" ht="15" customHeight="1" s="28"/>
    <row r="11" ht="15" customHeight="1" s="28"/>
    <row r="12" ht="15" customHeight="1" s="28"/>
  </sheetData>
  <conditionalFormatting sqref="A2:H1000">
    <cfRule type="expression" rank="0" priority="2" equalAverage="0" aboveAverage="0" dxfId="0" text="" percent="0" bottom="0">
      <formula>$A2=TODAY()</formula>
    </cfRule>
    <cfRule type="expression" rank="0" priority="3" equalAverage="0" aboveAverage="0" dxfId="1" text="" percent="0" bottom="0">
      <formula>AND(ISNUMBER($A2),$A2&lt;TODAY())</formula>
    </cfRule>
  </conditionalFormatting>
  <dataValidations count="2">
    <dataValidation sqref="E2:E1000" showDropDown="0" showInputMessage="0" showErrorMessage="0" allowBlank="1" type="list" errorStyle="stop" operator="between">
      <formula1>Lists!$B$3:$B$8</formula1>
      <formula2>0</formula2>
    </dataValidation>
    <dataValidation sqref="F2:F1000" showDropDown="0" showInputMessage="0" showErrorMessage="0" allowBlank="1" type="list" errorStyle="stop" operator="between">
      <formula1>"Google,iCloud,Manual,System,Other"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2" customWidth="1" style="27" min="2" max="4"/>
    <col width="16" customWidth="1" style="27" min="5" max="5"/>
    <col width="12" customWidth="1" style="27" min="6" max="9"/>
    <col width="36" customWidth="1" style="27" min="10" max="10"/>
    <col width="12" customWidth="1" style="27" min="11" max="11"/>
    <col width="14" customWidth="1" style="27" min="12" max="12"/>
  </cols>
  <sheetData>
    <row r="1" ht="27.75" customHeight="1" s="28">
      <c r="A1" s="34" t="inlineStr">
        <is>
          <t>Title</t>
        </is>
      </c>
      <c r="B1" s="34" t="inlineStr">
        <is>
          <t>Domain</t>
        </is>
      </c>
      <c r="C1" s="34" t="inlineStr">
        <is>
          <t>Owner</t>
        </is>
      </c>
      <c r="D1" s="34" t="inlineStr">
        <is>
          <t>Due Date</t>
        </is>
      </c>
      <c r="E1" s="34" t="inlineStr">
        <is>
          <t>Lead Times</t>
        </is>
      </c>
      <c r="F1" s="34" t="inlineStr">
        <is>
          <t>Recurrence</t>
        </is>
      </c>
      <c r="G1" s="34" t="inlineStr">
        <is>
          <t>Status</t>
        </is>
      </c>
      <c r="H1" s="34" t="inlineStr">
        <is>
          <t>Last Sent</t>
        </is>
      </c>
      <c r="I1" s="34" t="inlineStr">
        <is>
          <t>Channel</t>
        </is>
      </c>
      <c r="J1" s="34" t="inlineStr">
        <is>
          <t>Notes</t>
        </is>
      </c>
      <c r="K1" s="41" t="inlineStr">
        <is>
          <t>Days Until</t>
        </is>
      </c>
      <c r="L1" s="41" t="inlineStr">
        <is>
          <t>Auto-flag</t>
        </is>
      </c>
      <c r="M1" t="inlineStr">
        <is>
          <t>LastDoneBy</t>
        </is>
      </c>
      <c r="N1" t="inlineStr">
        <is>
          <t>DoneAt</t>
        </is>
      </c>
      <c r="O1" t="inlineStr">
        <is>
          <t>WriteQueue_Tombstone</t>
        </is>
      </c>
      <c r="P1" t="inlineStr">
        <is>
          <t>Guide URL</t>
        </is>
      </c>
    </row>
    <row r="2" ht="36" customHeight="1" s="28">
      <c r="A2" s="35" t="inlineStr">
        <is>
          <t>Car annual test (Test Rishui)</t>
        </is>
      </c>
      <c r="B2" s="35" t="inlineStr">
        <is>
          <t>Car</t>
        </is>
      </c>
      <c r="C2" s="35" t="inlineStr">
        <is>
          <t>Adar</t>
        </is>
      </c>
      <c r="D2" s="36" t="n">
        <v>46310</v>
      </c>
      <c r="E2" s="35" t="inlineStr">
        <is>
          <t>60,30,7,1</t>
        </is>
      </c>
      <c r="F2" s="35" t="inlineStr">
        <is>
          <t>Yearly</t>
        </is>
      </c>
      <c r="G2" s="35" t="inlineStr">
        <is>
          <t>Pending</t>
        </is>
      </c>
      <c r="H2" s="35" t="n"/>
      <c r="I2" s="35" t="inlineStr">
        <is>
          <t>WhatsApp</t>
        </is>
      </c>
      <c r="J2" s="35" t="inlineStr">
        <is>
          <t>Plate XX-XXX-XX</t>
        </is>
      </c>
      <c r="K2" s="27">
        <f>IF(ISNUMBER(D2),D2-TODAY(),"")</f>
        <v/>
      </c>
      <c r="L2" s="27">
        <f>IF(G2="Done","",IF(NOT(ISNUMBER(D2)),"",IF(D2&lt;TODAY(),"OVERDUE",IF(D2-TODAY()&lt;=1,"FIRE TODAY",IF(D2-TODAY()&lt;=7,"WEEK OUT",IF(D2-TODAY()&lt;=30,"MONTH OUT",""))))))</f>
        <v/>
      </c>
    </row>
    <row r="3" ht="36" customHeight="1" s="28">
      <c r="A3" s="35" t="inlineStr">
        <is>
          <t>Car insurance renewal</t>
        </is>
      </c>
      <c r="B3" s="35" t="inlineStr">
        <is>
          <t>Car</t>
        </is>
      </c>
      <c r="C3" s="35" t="inlineStr">
        <is>
          <t>Adar</t>
        </is>
      </c>
      <c r="D3" s="36" t="n">
        <v>46327</v>
      </c>
      <c r="E3" s="35" t="inlineStr">
        <is>
          <t>30,7,1</t>
        </is>
      </c>
      <c r="F3" s="35" t="inlineStr">
        <is>
          <t>Yearly</t>
        </is>
      </c>
      <c r="G3" s="35" t="inlineStr">
        <is>
          <t>Pending</t>
        </is>
      </c>
      <c r="H3" s="35" t="n"/>
      <c r="I3" s="35" t="inlineStr">
        <is>
          <t>WhatsApp</t>
        </is>
      </c>
      <c r="J3" s="35" t="inlineStr">
        <is>
          <t>Currently with Harel</t>
        </is>
      </c>
      <c r="K3" s="27">
        <f>IF(ISNUMBER(D3),D3-TODAY(),"")</f>
        <v/>
      </c>
      <c r="L3" s="27">
        <f>IF(G3="Done","",IF(NOT(ISNUMBER(D3)),"",IF(D3&lt;TODAY(),"OVERDUE",IF(D3-TODAY()&lt;=1,"FIRE TODAY",IF(D3-TODAY()&lt;=7,"WEEK OUT",IF(D3-TODAY()&lt;=30,"MONTH OUT",""))))))</f>
        <v/>
      </c>
    </row>
    <row r="4" ht="36" customHeight="1" s="28">
      <c r="A4" s="35" t="inlineStr">
        <is>
          <t>Dentist — Adar</t>
        </is>
      </c>
      <c r="B4" s="35" t="inlineStr">
        <is>
          <t>Health</t>
        </is>
      </c>
      <c r="C4" s="35" t="inlineStr">
        <is>
          <t>Adar</t>
        </is>
      </c>
      <c r="D4" s="36" t="n">
        <v>46249</v>
      </c>
      <c r="E4" s="35" t="inlineStr">
        <is>
          <t>30,7</t>
        </is>
      </c>
      <c r="F4" s="35" t="inlineStr">
        <is>
          <t>6-month</t>
        </is>
      </c>
      <c r="G4" s="35" t="inlineStr">
        <is>
          <t>Pending</t>
        </is>
      </c>
      <c r="H4" s="35" t="n"/>
      <c r="I4" s="35" t="inlineStr">
        <is>
          <t>WhatsApp</t>
        </is>
      </c>
      <c r="J4" s="35" t="n"/>
      <c r="K4" s="27">
        <f>IF(ISNUMBER(D4),D4-TODAY(),"")</f>
        <v/>
      </c>
      <c r="L4" s="27">
        <f>IF(G4="Done","",IF(NOT(ISNUMBER(D4)),"",IF(D4&lt;TODAY(),"OVERDUE",IF(D4-TODAY()&lt;=1,"FIRE TODAY",IF(D4-TODAY()&lt;=7,"WEEK OUT",IF(D4-TODAY()&lt;=30,"MONTH OUT",""))))))</f>
        <v/>
      </c>
    </row>
    <row r="5" ht="36" customHeight="1" s="28">
      <c r="A5" s="35" t="inlineStr">
        <is>
          <t>Dentist — Child 1</t>
        </is>
      </c>
      <c r="B5" s="35" t="inlineStr">
        <is>
          <t>Health</t>
        </is>
      </c>
      <c r="C5" s="35" t="inlineStr">
        <is>
          <t>Partner</t>
        </is>
      </c>
      <c r="D5" s="36" t="n">
        <v>46275</v>
      </c>
      <c r="E5" s="35" t="inlineStr">
        <is>
          <t>30,7</t>
        </is>
      </c>
      <c r="F5" s="35" t="inlineStr">
        <is>
          <t>6-month</t>
        </is>
      </c>
      <c r="G5" s="35" t="inlineStr">
        <is>
          <t>Pending</t>
        </is>
      </c>
      <c r="H5" s="35" t="n"/>
      <c r="I5" s="35" t="inlineStr">
        <is>
          <t>WhatsApp</t>
        </is>
      </c>
      <c r="J5" s="35" t="n"/>
      <c r="K5" s="27">
        <f>IF(ISNUMBER(D5),D5-TODAY(),"")</f>
        <v/>
      </c>
      <c r="L5" s="27">
        <f>IF(G5="Done","",IF(NOT(ISNUMBER(D5)),"",IF(D5&lt;TODAY(),"OVERDUE",IF(D5-TODAY()&lt;=1,"FIRE TODAY",IF(D5-TODAY()&lt;=7,"WEEK OUT",IF(D5-TODAY()&lt;=30,"MONTH OUT",""))))))</f>
        <v/>
      </c>
    </row>
    <row r="6" ht="36" customHeight="1" s="28">
      <c r="A6" s="35" t="inlineStr">
        <is>
          <t>1st-grade registration opens</t>
        </is>
      </c>
      <c r="B6" s="35" t="inlineStr">
        <is>
          <t>Education</t>
        </is>
      </c>
      <c r="C6" s="35" t="inlineStr">
        <is>
          <t>Both</t>
        </is>
      </c>
      <c r="D6" s="36" t="n">
        <v>46371</v>
      </c>
      <c r="E6" s="35" t="inlineStr">
        <is>
          <t>30,14,7,1</t>
        </is>
      </c>
      <c r="F6" s="35" t="inlineStr">
        <is>
          <t>Once</t>
        </is>
      </c>
      <c r="G6" s="35" t="inlineStr">
        <is>
          <t>Pending</t>
        </is>
      </c>
      <c r="H6" s="35" t="n"/>
      <c r="I6" s="35" t="inlineStr">
        <is>
          <t>WhatsApp</t>
        </is>
      </c>
      <c r="J6" s="35" t="inlineStr">
        <is>
          <t>City portal</t>
        </is>
      </c>
      <c r="K6" s="27">
        <f>IF(ISNUMBER(D6),D6-TODAY(),"")</f>
        <v/>
      </c>
      <c r="L6" s="27">
        <f>IF(G6="Done","",IF(NOT(ISNUMBER(D6)),"",IF(D6&lt;TODAY(),"OVERDUE",IF(D6-TODAY()&lt;=1,"FIRE TODAY",IF(D6-TODAY()&lt;=7,"WEEK OUT",IF(D6-TODAY()&lt;=30,"MONTH OUT",""))))))</f>
        <v/>
      </c>
    </row>
    <row r="7" ht="36" customHeight="1" s="28">
      <c r="A7" s="35" t="inlineStr">
        <is>
          <t>Parent-teacher conference</t>
        </is>
      </c>
      <c r="B7" s="35" t="inlineStr">
        <is>
          <t>Education</t>
        </is>
      </c>
      <c r="C7" s="35" t="inlineStr">
        <is>
          <t>Both</t>
        </is>
      </c>
      <c r="D7" s="36" t="n">
        <v>46346</v>
      </c>
      <c r="E7" s="35" t="inlineStr">
        <is>
          <t>14,3,1</t>
        </is>
      </c>
      <c r="F7" s="35" t="inlineStr">
        <is>
          <t>Bi-yearly</t>
        </is>
      </c>
      <c r="G7" s="35" t="inlineStr">
        <is>
          <t>Pending</t>
        </is>
      </c>
      <c r="H7" s="35" t="n"/>
      <c r="I7" s="35" t="inlineStr">
        <is>
          <t>WhatsApp</t>
        </is>
      </c>
      <c r="J7" s="35" t="n"/>
      <c r="K7" s="27">
        <f>IF(ISNUMBER(D7),D7-TODAY(),"")</f>
        <v/>
      </c>
      <c r="L7" s="27">
        <f>IF(G7="Done","",IF(NOT(ISNUMBER(D7)),"",IF(D7&lt;TODAY(),"OVERDUE",IF(D7-TODAY()&lt;=1,"FIRE TODAY",IF(D7-TODAY()&lt;=7,"WEEK OUT",IF(D7-TODAY()&lt;=30,"MONTH OUT",""))))))</f>
        <v/>
      </c>
    </row>
    <row r="8" ht="36" customHeight="1" s="28">
      <c r="A8" s="35" t="inlineStr">
        <is>
          <t>Quarterly savings transfer</t>
        </is>
      </c>
      <c r="B8" s="35" t="inlineStr">
        <is>
          <t>Finance</t>
        </is>
      </c>
      <c r="C8" s="35" t="inlineStr">
        <is>
          <t>Adar</t>
        </is>
      </c>
      <c r="D8" s="36" t="n">
        <v>46203</v>
      </c>
      <c r="E8" s="35" t="inlineStr">
        <is>
          <t>7,1</t>
        </is>
      </c>
      <c r="F8" s="35" t="inlineStr">
        <is>
          <t>Quarterly</t>
        </is>
      </c>
      <c r="G8" s="35" t="inlineStr">
        <is>
          <t>Pending</t>
        </is>
      </c>
      <c r="H8" s="35" t="n"/>
      <c r="I8" s="35" t="inlineStr">
        <is>
          <t>WhatsApp</t>
        </is>
      </c>
      <c r="J8" s="35" t="inlineStr">
        <is>
          <t>₪5000 → savings</t>
        </is>
      </c>
      <c r="K8" s="27">
        <f>IF(ISNUMBER(D8),D8-TODAY(),"")</f>
        <v/>
      </c>
      <c r="L8" s="27">
        <f>IF(G8="Done","",IF(NOT(ISNUMBER(D8)),"",IF(D8&lt;TODAY(),"OVERDUE",IF(D8-TODAY()&lt;=1,"FIRE TODAY",IF(D8-TODAY()&lt;=7,"WEEK OUT",IF(D8-TODAY()&lt;=30,"MONTH OUT",""))))))</f>
        <v/>
      </c>
    </row>
    <row r="9" ht="36" customHeight="1" s="28">
      <c r="A9" s="35" t="inlineStr">
        <is>
          <t>Pay annual home insurance</t>
        </is>
      </c>
      <c r="B9" s="35" t="inlineStr">
        <is>
          <t>Finance</t>
        </is>
      </c>
      <c r="C9" s="35" t="inlineStr">
        <is>
          <t>Adar</t>
        </is>
      </c>
      <c r="D9" s="36" t="n">
        <v>46266</v>
      </c>
      <c r="E9" s="35" t="inlineStr">
        <is>
          <t>14,3</t>
        </is>
      </c>
      <c r="F9" s="35" t="inlineStr">
        <is>
          <t>Yearly</t>
        </is>
      </c>
      <c r="G9" s="35" t="inlineStr">
        <is>
          <t>Pending</t>
        </is>
      </c>
      <c r="H9" s="35" t="n"/>
      <c r="I9" s="35" t="inlineStr">
        <is>
          <t>WhatsApp</t>
        </is>
      </c>
      <c r="J9" s="35" t="n"/>
      <c r="K9" s="27">
        <f>IF(ISNUMBER(D9),D9-TODAY(),"")</f>
        <v/>
      </c>
      <c r="L9" s="27">
        <f>IF(G9="Done","",IF(NOT(ISNUMBER(D9)),"",IF(D9&lt;TODAY(),"OVERDUE",IF(D9-TODAY()&lt;=1,"FIRE TODAY",IF(D9-TODAY()&lt;=7,"WEEK OUT",IF(D9-TODAY()&lt;=30,"MONTH OUT",""))))))</f>
        <v/>
      </c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5" customHeight="1" s="28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5" customHeight="1" s="28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5" customHeight="1" s="28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5" customHeight="1" s="28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  <row r="25" ht="15" customHeight="1" s="28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</row>
    <row r="26" ht="15" customHeight="1" s="28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</row>
    <row r="27" ht="15" customHeight="1" s="28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</row>
    <row r="28" ht="15" customHeight="1" s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</row>
    <row r="29" ht="15" customHeight="1" s="28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</row>
    <row r="30" ht="15" customHeight="1" s="28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</row>
    <row r="31" ht="15" customHeight="1" s="28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</row>
    <row r="32" ht="15" customHeight="1" s="28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</row>
    <row r="33" ht="15" customHeight="1" s="28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</row>
    <row r="34" ht="15" customHeight="1" s="28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</row>
    <row r="35" ht="15" customHeight="1" s="28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</row>
    <row r="36" ht="15" customHeight="1" s="28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</row>
    <row r="37" ht="15" customHeight="1" s="28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</row>
    <row r="38" ht="15" customHeight="1" s="2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</row>
    <row r="39" ht="15" customHeight="1" s="28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</row>
  </sheetData>
  <conditionalFormatting sqref="G2:G100">
    <cfRule type="cellIs" rank="0" priority="2" equalAverage="0" operator="equal" aboveAverage="0" dxfId="2" text="" percent="0" bottom="0">
      <formula>"Done"</formula>
    </cfRule>
    <cfRule type="cellIs" rank="0" priority="3" equalAverage="0" operator="equal" aboveAverage="0" dxfId="3" text="" percent="0" bottom="0">
      <formula>"Overdue"</formula>
    </cfRule>
  </conditionalFormatting>
  <conditionalFormatting sqref="D2:D1000">
    <cfRule type="expression" rank="0" priority="4" equalAverage="0" aboveAverage="0" dxfId="4" text="" percent="0" bottom="0">
      <formula>AND(ISNUMBER(D2),D2&lt;TODAY())</formula>
    </cfRule>
    <cfRule type="expression" rank="0" priority="5" equalAverage="0" aboveAverage="0" dxfId="0" text="" percent="0" bottom="0">
      <formula>AND(ISNUMBER(D2),D2-TODAY()&gt;=0,D2-TODAY()&lt;=7)</formula>
    </cfRule>
    <cfRule type="expression" rank="0" priority="6" equalAverage="0" aboveAverage="0" dxfId="2" text="" percent="0" bottom="0">
      <formula>AND(ISNUMBER(D2),D2-TODAY()&gt;7,D2-TODAY()&lt;=30)</formula>
    </cfRule>
  </conditionalFormatting>
  <conditionalFormatting sqref="A2:J1000">
    <cfRule type="expression" rank="0" priority="7" equalAverage="0" aboveAverage="0" dxfId="1" text="" percent="0" bottom="0">
      <formula>$G2="Done"</formula>
    </cfRule>
  </conditionalFormatting>
  <conditionalFormatting sqref="L2:L1000">
    <cfRule type="expression" rank="0" priority="8" equalAverage="0" aboveAverage="0" dxfId="5" text="" percent="0" bottom="0">
      <formula>$L2="OVERDUE"</formula>
    </cfRule>
    <cfRule type="expression" rank="0" priority="9" equalAverage="0" aboveAverage="0" dxfId="4" text="" percent="0" bottom="0">
      <formula>$L2="FIRE TODAY"</formula>
    </cfRule>
    <cfRule type="expression" rank="0" priority="10" equalAverage="0" aboveAverage="0" dxfId="0" text="" percent="0" bottom="0">
      <formula>$L2="WEEK OUT"</formula>
    </cfRule>
    <cfRule type="expression" rank="0" priority="11" equalAverage="0" aboveAverage="0" dxfId="2" text="" percent="0" bottom="0">
      <formula>$L2="MONTH OUT"</formula>
    </cfRule>
  </conditionalFormatting>
  <dataValidations count="5">
    <dataValidation sqref="B2:B1000" showDropDown="0" showInputMessage="0" showErrorMessage="0" allowBlank="1" errorTitle="Invalid Domain" error="Pick from: Calendar, Finance, Goals, Education, Health, Car…" type="list" errorStyle="stop" operator="between">
      <formula1>Lists!$A$3:$A$12</formula1>
      <formula2>0</formula2>
    </dataValidation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F2:F1000" showDropDown="0" showInputMessage="0" showErrorMessage="0" allowBlank="1" errorTitle="Invalid Recurrence" error="Pick from: One-off, Daily, Weekly, Monthly, Quarterly, Yearly…" type="list" errorStyle="stop" operator="between">
      <formula1>Lists!$E$3:$E$9</formula1>
      <formula2>0</formula2>
    </dataValidation>
    <dataValidation sqref="G2:G1000" showDropDown="0" showInputMessage="0" showErrorMessage="0" allowBlank="1" errorTitle="Invalid Status" error="Pick from: Pending, Snoozed, Sent, Done, Skipped, Overdue…" type="list" errorStyle="stop" operator="between">
      <formula1>Lists!$C$3:$C$8</formula1>
      <formula2>0</formula2>
    </dataValidation>
    <dataValidation sqref="I2:I1000" showDropDown="0" showInputMessage="0" showErrorMessage="0" allowBlank="1" errorTitle="Invalid Channel" error="Pick from: WhatsApp, Email, None…" type="list" errorStyle="stop" operator="between">
      <formula1>Lists!$D$3:$D$5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27" min="1" max="1"/>
    <col width="16" customWidth="1" style="27" min="2" max="2"/>
    <col width="18" customWidth="1" style="27" min="3" max="3"/>
    <col width="16" customWidth="1" style="27" min="4" max="7"/>
    <col width="18" customWidth="1" style="27" min="8" max="8"/>
    <col width="26" customWidth="1" style="27" min="9" max="9"/>
  </cols>
  <sheetData>
    <row r="1" ht="27.75" customHeight="1" s="28">
      <c r="A1" s="34" t="inlineStr">
        <is>
          <t>Account Name</t>
        </is>
      </c>
      <c r="B1" s="34" t="inlineStr">
        <is>
          <t>Type</t>
        </is>
      </c>
      <c r="C1" s="34" t="inlineStr">
        <is>
          <t>Bank/Provider</t>
        </is>
      </c>
      <c r="D1" s="34" t="inlineStr">
        <is>
          <t>Last 4</t>
        </is>
      </c>
      <c r="E1" s="34" t="inlineStr">
        <is>
          <t>Owner</t>
        </is>
      </c>
      <c r="F1" s="34" t="inlineStr">
        <is>
          <t>Currency</t>
        </is>
      </c>
      <c r="G1" s="34" t="inlineStr">
        <is>
          <t>Last Imported</t>
        </is>
      </c>
      <c r="H1" s="34" t="inlineStr">
        <is>
          <t>Balance Snapshot</t>
        </is>
      </c>
      <c r="I1" s="34" t="inlineStr">
        <is>
          <t>Notes</t>
        </is>
      </c>
    </row>
    <row r="2" ht="36" customHeight="1" s="28">
      <c r="A2" s="35" t="inlineStr">
        <is>
          <t>[Joint Checking]</t>
        </is>
      </c>
      <c r="B2" s="35" t="inlineStr">
        <is>
          <t>Checking</t>
        </is>
      </c>
      <c r="C2" s="35" t="inlineStr">
        <is>
          <t>Bank Hapoalim</t>
        </is>
      </c>
      <c r="D2" s="35" t="inlineStr">
        <is>
          <t>1234</t>
        </is>
      </c>
      <c r="E2" s="35" t="inlineStr">
        <is>
          <t>Both</t>
        </is>
      </c>
      <c r="F2" s="35" t="inlineStr">
        <is>
          <t>ILS</t>
        </is>
      </c>
      <c r="G2" s="35" t="n"/>
      <c r="H2" s="35" t="n"/>
      <c r="I2" s="35" t="inlineStr">
        <is>
          <t>Primary household account</t>
        </is>
      </c>
    </row>
    <row r="3" ht="36" customHeight="1" s="28">
      <c r="A3" s="35" t="inlineStr">
        <is>
          <t>[Adar Savings]</t>
        </is>
      </c>
      <c r="B3" s="35" t="inlineStr">
        <is>
          <t>Savings</t>
        </is>
      </c>
      <c r="C3" s="35" t="inlineStr">
        <is>
          <t>Bank Hapoalim</t>
        </is>
      </c>
      <c r="D3" s="35" t="inlineStr">
        <is>
          <t>5678</t>
        </is>
      </c>
      <c r="E3" s="35" t="inlineStr">
        <is>
          <t>Adar</t>
        </is>
      </c>
      <c r="F3" s="35" t="inlineStr">
        <is>
          <t>ILS</t>
        </is>
      </c>
      <c r="G3" s="35" t="n"/>
      <c r="H3" s="35" t="n"/>
      <c r="I3" s="35" t="n"/>
    </row>
    <row r="4" ht="36" customHeight="1" s="28">
      <c r="A4" s="35" t="inlineStr">
        <is>
          <t>[Visa Cal — Adar]</t>
        </is>
      </c>
      <c r="B4" s="35" t="inlineStr">
        <is>
          <t>Credit Card</t>
        </is>
      </c>
      <c r="C4" s="35" t="inlineStr">
        <is>
          <t>Cal</t>
        </is>
      </c>
      <c r="D4" s="35" t="inlineStr">
        <is>
          <t>9012</t>
        </is>
      </c>
      <c r="E4" s="35" t="inlineStr">
        <is>
          <t>Adar</t>
        </is>
      </c>
      <c r="F4" s="35" t="inlineStr">
        <is>
          <t>ILS</t>
        </is>
      </c>
      <c r="G4" s="35" t="n"/>
      <c r="H4" s="35" t="n"/>
      <c r="I4" s="35" t="n"/>
    </row>
    <row r="5" ht="36" customHeight="1" s="28">
      <c r="A5" s="35" t="inlineStr">
        <is>
          <t>[Mastercard — Partner]</t>
        </is>
      </c>
      <c r="B5" s="35" t="inlineStr">
        <is>
          <t>Credit Card</t>
        </is>
      </c>
      <c r="C5" s="35" t="inlineStr">
        <is>
          <t>Isracard</t>
        </is>
      </c>
      <c r="D5" s="35" t="inlineStr">
        <is>
          <t>3456</t>
        </is>
      </c>
      <c r="E5" s="35" t="inlineStr">
        <is>
          <t>Partner</t>
        </is>
      </c>
      <c r="F5" s="35" t="inlineStr">
        <is>
          <t>ILS</t>
        </is>
      </c>
      <c r="G5" s="35" t="n"/>
      <c r="H5" s="35" t="n"/>
      <c r="I5" s="35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</sheetData>
  <dataValidations count="3">
    <dataValidation sqref="B2:B1000" showDropDown="0" showInputMessage="0" showErrorMessage="0" allowBlank="1" errorTitle="Invalid AcctType" error="Pick from: Checking, Savings, Credit Card, Investment, Loan, Other…" type="list" errorStyle="stop" operator="between">
      <formula1>Lists!$G$3:$G$8</formula1>
      <formula2>0</formula2>
    </dataValidation>
    <dataValidation sqref="E2:E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F2:F1000" showDropDown="0" showInputMessage="0" showErrorMessage="0" allowBlank="1" errorTitle="Invalid Currency" error="Pick from: ILS, USD, EUR, GBP…" type="list" errorStyle="stop" operator="between">
      <formula1>Lists!$F$3:$F$6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22" customWidth="1" style="27" min="2" max="2"/>
    <col width="36" customWidth="1" style="27" min="3" max="3"/>
    <col width="14" customWidth="1" style="27" min="4" max="4"/>
    <col width="16" customWidth="1" style="27" min="5" max="7"/>
    <col width="22" customWidth="1" style="27" min="8" max="8"/>
    <col width="24" customWidth="1" style="27" min="9" max="9"/>
  </cols>
  <sheetData>
    <row r="1" ht="27.75" customHeight="1" s="28">
      <c r="A1" s="34" t="inlineStr">
        <is>
          <t>Date</t>
        </is>
      </c>
      <c r="B1" s="34" t="inlineStr">
        <is>
          <t>Account</t>
        </is>
      </c>
      <c r="C1" s="34" t="inlineStr">
        <is>
          <t>Description</t>
        </is>
      </c>
      <c r="D1" s="34" t="inlineStr">
        <is>
          <t>Amount (ILS)</t>
        </is>
      </c>
      <c r="E1" s="34" t="inlineStr">
        <is>
          <t>Category</t>
        </is>
      </c>
      <c r="F1" s="34" t="inlineStr">
        <is>
          <t>Subcategory</t>
        </is>
      </c>
      <c r="G1" s="34" t="inlineStr">
        <is>
          <t>Tags</t>
        </is>
      </c>
      <c r="H1" s="34" t="inlineStr">
        <is>
          <t>Imported From</t>
        </is>
      </c>
      <c r="I1" s="34" t="inlineStr">
        <is>
          <t>Notes</t>
        </is>
      </c>
    </row>
    <row r="2" ht="36" customHeight="1" s="28">
      <c r="A2" s="36" t="n">
        <v>46152</v>
      </c>
      <c r="B2" s="35" t="inlineStr">
        <is>
          <t>[Joint Checking]</t>
        </is>
      </c>
      <c r="C2" s="35" t="inlineStr">
        <is>
          <t>SHUFERSAL DEAL</t>
        </is>
      </c>
      <c r="D2" s="42" t="n">
        <v>-432.5</v>
      </c>
      <c r="E2" s="35" t="inlineStr">
        <is>
          <t>Groceries</t>
        </is>
      </c>
      <c r="F2" s="35" t="inlineStr">
        <is>
          <t>Supermarket</t>
        </is>
      </c>
      <c r="G2" s="35" t="inlineStr">
        <is>
          <t>kids</t>
        </is>
      </c>
      <c r="H2" s="35" t="inlineStr">
        <is>
          <t>hapoalim_2026-05.csv</t>
        </is>
      </c>
      <c r="I2" s="35" t="inlineStr">
        <is>
          <t>Sample row</t>
        </is>
      </c>
    </row>
    <row r="3" ht="36" customHeight="1" s="28">
      <c r="A3" s="36" t="n">
        <v>46154</v>
      </c>
      <c r="B3" s="35" t="inlineStr">
        <is>
          <t>[Visa Cal — Adar]</t>
        </is>
      </c>
      <c r="C3" s="35" t="inlineStr">
        <is>
          <t>PAZ GAS STATION</t>
        </is>
      </c>
      <c r="D3" s="42" t="n">
        <v>-280</v>
      </c>
      <c r="E3" s="35" t="inlineStr">
        <is>
          <t>Transport</t>
        </is>
      </c>
      <c r="F3" s="35" t="inlineStr">
        <is>
          <t>Fuel</t>
        </is>
      </c>
      <c r="G3" s="35" t="inlineStr">
        <is>
          <t>car</t>
        </is>
      </c>
      <c r="H3" s="35" t="inlineStr">
        <is>
          <t>cal_2026-05.csv</t>
        </is>
      </c>
      <c r="I3" s="35" t="n"/>
    </row>
    <row r="4" ht="36" customHeight="1" s="28">
      <c r="A4" s="36" t="n">
        <v>46157</v>
      </c>
      <c r="B4" s="35" t="inlineStr">
        <is>
          <t>[Joint Checking]</t>
        </is>
      </c>
      <c r="C4" s="35" t="inlineStr">
        <is>
          <t>MORTGAGE PAYMENT</t>
        </is>
      </c>
      <c r="D4" s="42" t="n">
        <v>-6800</v>
      </c>
      <c r="E4" s="35" t="inlineStr">
        <is>
          <t>Housing</t>
        </is>
      </c>
      <c r="F4" s="35" t="inlineStr">
        <is>
          <t>Mortgage</t>
        </is>
      </c>
      <c r="G4" s="35" t="inlineStr">
        <is>
          <t>fixed</t>
        </is>
      </c>
      <c r="H4" s="35" t="inlineStr">
        <is>
          <t>hapoalim_2026-05.csv</t>
        </is>
      </c>
      <c r="I4" s="35" t="n"/>
    </row>
    <row r="5" ht="36" customHeight="1" s="28">
      <c r="A5" s="36" t="n">
        <v>46162</v>
      </c>
      <c r="B5" s="35" t="inlineStr">
        <is>
          <t>[Joint Checking]</t>
        </is>
      </c>
      <c r="C5" s="35" t="inlineStr">
        <is>
          <t>SALARY — ADAR</t>
        </is>
      </c>
      <c r="D5" s="42" t="n">
        <v>28500</v>
      </c>
      <c r="E5" s="35" t="inlineStr">
        <is>
          <t>Income</t>
        </is>
      </c>
      <c r="F5" s="35" t="inlineStr">
        <is>
          <t>Salary</t>
        </is>
      </c>
      <c r="G5" s="35" t="inlineStr">
        <is>
          <t>income</t>
        </is>
      </c>
      <c r="H5" s="35" t="inlineStr">
        <is>
          <t>hapoalim_2026-05.csv</t>
        </is>
      </c>
      <c r="I5" s="35" t="n"/>
    </row>
    <row r="6" ht="15" customHeight="1" s="28">
      <c r="A6" s="37" t="n"/>
      <c r="B6" s="37" t="n"/>
      <c r="C6" s="37" t="n"/>
      <c r="D6" s="43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43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43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43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43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43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43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43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43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43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43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43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43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43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43" t="n"/>
      <c r="E20" s="37" t="n"/>
      <c r="F20" s="37" t="n"/>
      <c r="G20" s="37" t="n"/>
      <c r="H20" s="37" t="n"/>
      <c r="I20" s="37" t="n"/>
    </row>
    <row r="21" ht="15" customHeight="1" s="28">
      <c r="A21" s="37" t="n"/>
      <c r="B21" s="37" t="n"/>
      <c r="C21" s="37" t="n"/>
      <c r="D21" s="43" t="n"/>
      <c r="E21" s="37" t="n"/>
      <c r="F21" s="37" t="n"/>
      <c r="G21" s="37" t="n"/>
      <c r="H21" s="37" t="n"/>
      <c r="I21" s="37" t="n"/>
    </row>
    <row r="22" ht="15" customHeight="1" s="28">
      <c r="A22" s="37" t="n"/>
      <c r="B22" s="37" t="n"/>
      <c r="C22" s="37" t="n"/>
      <c r="D22" s="43" t="n"/>
      <c r="E22" s="37" t="n"/>
      <c r="F22" s="37" t="n"/>
      <c r="G22" s="37" t="n"/>
      <c r="H22" s="37" t="n"/>
      <c r="I22" s="37" t="n"/>
    </row>
    <row r="23" ht="15" customHeight="1" s="28">
      <c r="A23" s="37" t="n"/>
      <c r="B23" s="37" t="n"/>
      <c r="C23" s="37" t="n"/>
      <c r="D23" s="43" t="n"/>
      <c r="E23" s="37" t="n"/>
      <c r="F23" s="37" t="n"/>
      <c r="G23" s="37" t="n"/>
      <c r="H23" s="37" t="n"/>
      <c r="I23" s="37" t="n"/>
    </row>
    <row r="24" ht="15" customHeight="1" s="28">
      <c r="A24" s="37" t="n"/>
      <c r="B24" s="37" t="n"/>
      <c r="C24" s="37" t="n"/>
      <c r="D24" s="43" t="n"/>
      <c r="E24" s="37" t="n"/>
      <c r="F24" s="37" t="n"/>
      <c r="G24" s="37" t="n"/>
      <c r="H24" s="37" t="n"/>
      <c r="I24" s="37" t="n"/>
    </row>
    <row r="25" ht="15" customHeight="1" s="28">
      <c r="A25" s="37" t="n"/>
      <c r="B25" s="37" t="n"/>
      <c r="C25" s="37" t="n"/>
      <c r="D25" s="43" t="n"/>
      <c r="E25" s="37" t="n"/>
      <c r="F25" s="37" t="n"/>
      <c r="G25" s="37" t="n"/>
      <c r="H25" s="37" t="n"/>
      <c r="I25" s="37" t="n"/>
    </row>
    <row r="26" ht="15" customHeight="1" s="28">
      <c r="A26" s="37" t="n"/>
      <c r="B26" s="37" t="n"/>
      <c r="C26" s="37" t="n"/>
      <c r="D26" s="43" t="n"/>
      <c r="E26" s="37" t="n"/>
      <c r="F26" s="37" t="n"/>
      <c r="G26" s="37" t="n"/>
      <c r="H26" s="37" t="n"/>
      <c r="I26" s="37" t="n"/>
    </row>
    <row r="27" ht="15" customHeight="1" s="28">
      <c r="A27" s="37" t="n"/>
      <c r="B27" s="37" t="n"/>
      <c r="C27" s="37" t="n"/>
      <c r="D27" s="43" t="n"/>
      <c r="E27" s="37" t="n"/>
      <c r="F27" s="37" t="n"/>
      <c r="G27" s="37" t="n"/>
      <c r="H27" s="37" t="n"/>
      <c r="I27" s="37" t="n"/>
    </row>
    <row r="28" ht="15" customHeight="1" s="28">
      <c r="A28" s="37" t="n"/>
      <c r="B28" s="37" t="n"/>
      <c r="C28" s="37" t="n"/>
      <c r="D28" s="43" t="n"/>
      <c r="E28" s="37" t="n"/>
      <c r="F28" s="37" t="n"/>
      <c r="G28" s="37" t="n"/>
      <c r="H28" s="37" t="n"/>
      <c r="I28" s="37" t="n"/>
    </row>
    <row r="29" ht="15" customHeight="1" s="28">
      <c r="A29" s="37" t="n"/>
      <c r="B29" s="37" t="n"/>
      <c r="C29" s="37" t="n"/>
      <c r="D29" s="43" t="n"/>
      <c r="E29" s="37" t="n"/>
      <c r="F29" s="37" t="n"/>
      <c r="G29" s="37" t="n"/>
      <c r="H29" s="37" t="n"/>
      <c r="I29" s="37" t="n"/>
    </row>
    <row r="30" ht="15" customHeight="1" s="28">
      <c r="A30" s="37" t="n"/>
      <c r="B30" s="37" t="n"/>
      <c r="C30" s="37" t="n"/>
      <c r="D30" s="43" t="n"/>
      <c r="E30" s="37" t="n"/>
      <c r="F30" s="37" t="n"/>
      <c r="G30" s="37" t="n"/>
      <c r="H30" s="37" t="n"/>
      <c r="I30" s="37" t="n"/>
    </row>
    <row r="31" ht="15" customHeight="1" s="28">
      <c r="A31" s="37" t="n"/>
      <c r="B31" s="37" t="n"/>
      <c r="C31" s="37" t="n"/>
      <c r="D31" s="43" t="n"/>
      <c r="E31" s="37" t="n"/>
      <c r="F31" s="37" t="n"/>
      <c r="G31" s="37" t="n"/>
      <c r="H31" s="37" t="n"/>
      <c r="I31" s="37" t="n"/>
    </row>
    <row r="32" ht="15" customHeight="1" s="28">
      <c r="A32" s="37" t="n"/>
      <c r="B32" s="37" t="n"/>
      <c r="C32" s="37" t="n"/>
      <c r="D32" s="43" t="n"/>
      <c r="E32" s="37" t="n"/>
      <c r="F32" s="37" t="n"/>
      <c r="G32" s="37" t="n"/>
      <c r="H32" s="37" t="n"/>
      <c r="I32" s="37" t="n"/>
    </row>
    <row r="33" ht="15" customHeight="1" s="28">
      <c r="A33" s="37" t="n"/>
      <c r="B33" s="37" t="n"/>
      <c r="C33" s="37" t="n"/>
      <c r="D33" s="43" t="n"/>
      <c r="E33" s="37" t="n"/>
      <c r="F33" s="37" t="n"/>
      <c r="G33" s="37" t="n"/>
      <c r="H33" s="37" t="n"/>
      <c r="I33" s="37" t="n"/>
    </row>
    <row r="34" ht="15" customHeight="1" s="28">
      <c r="A34" s="37" t="n"/>
      <c r="B34" s="37" t="n"/>
      <c r="C34" s="37" t="n"/>
      <c r="D34" s="43" t="n"/>
      <c r="E34" s="37" t="n"/>
      <c r="F34" s="37" t="n"/>
      <c r="G34" s="37" t="n"/>
      <c r="H34" s="37" t="n"/>
      <c r="I34" s="37" t="n"/>
    </row>
    <row r="35" ht="15" customHeight="1" s="28">
      <c r="A35" s="37" t="n"/>
      <c r="B35" s="37" t="n"/>
      <c r="C35" s="37" t="n"/>
      <c r="D35" s="43" t="n"/>
      <c r="E35" s="37" t="n"/>
      <c r="F35" s="37" t="n"/>
      <c r="G35" s="37" t="n"/>
      <c r="H35" s="37" t="n"/>
      <c r="I35" s="37" t="n"/>
    </row>
    <row r="36" ht="15" customHeight="1" s="28">
      <c r="A36" s="37" t="n"/>
      <c r="B36" s="37" t="n"/>
      <c r="C36" s="37" t="n"/>
      <c r="D36" s="43" t="n"/>
      <c r="E36" s="37" t="n"/>
      <c r="F36" s="37" t="n"/>
      <c r="G36" s="37" t="n"/>
      <c r="H36" s="37" t="n"/>
      <c r="I36" s="37" t="n"/>
    </row>
    <row r="37" ht="15" customHeight="1" s="28">
      <c r="A37" s="37" t="n"/>
      <c r="B37" s="37" t="n"/>
      <c r="C37" s="37" t="n"/>
      <c r="D37" s="43" t="n"/>
      <c r="E37" s="37" t="n"/>
      <c r="F37" s="37" t="n"/>
      <c r="G37" s="37" t="n"/>
      <c r="H37" s="37" t="n"/>
      <c r="I37" s="37" t="n"/>
    </row>
    <row r="38" ht="15" customHeight="1" s="28">
      <c r="A38" s="37" t="n"/>
      <c r="B38" s="37" t="n"/>
      <c r="C38" s="37" t="n"/>
      <c r="D38" s="43" t="n"/>
      <c r="E38" s="37" t="n"/>
      <c r="F38" s="37" t="n"/>
      <c r="G38" s="37" t="n"/>
      <c r="H38" s="37" t="n"/>
      <c r="I38" s="37" t="n"/>
    </row>
    <row r="39" ht="15" customHeight="1" s="28">
      <c r="A39" s="37" t="n"/>
      <c r="B39" s="37" t="n"/>
      <c r="C39" s="37" t="n"/>
      <c r="D39" s="43" t="n"/>
      <c r="E39" s="37" t="n"/>
      <c r="F39" s="37" t="n"/>
      <c r="G39" s="37" t="n"/>
      <c r="H39" s="37" t="n"/>
      <c r="I39" s="37" t="n"/>
    </row>
    <row r="40" ht="15" customHeight="1" s="28">
      <c r="A40" s="37" t="n"/>
      <c r="B40" s="37" t="n"/>
      <c r="C40" s="37" t="n"/>
      <c r="D40" s="43" t="n"/>
      <c r="E40" s="37" t="n"/>
      <c r="F40" s="37" t="n"/>
      <c r="G40" s="37" t="n"/>
      <c r="H40" s="37" t="n"/>
      <c r="I40" s="37" t="n"/>
    </row>
    <row r="41" ht="15" customHeight="1" s="28">
      <c r="A41" s="37" t="n"/>
      <c r="B41" s="37" t="n"/>
      <c r="C41" s="37" t="n"/>
      <c r="D41" s="43" t="n"/>
      <c r="E41" s="37" t="n"/>
      <c r="F41" s="37" t="n"/>
      <c r="G41" s="37" t="n"/>
      <c r="H41" s="37" t="n"/>
      <c r="I41" s="37" t="n"/>
    </row>
    <row r="42" ht="15" customHeight="1" s="28">
      <c r="A42" s="37" t="n"/>
      <c r="B42" s="37" t="n"/>
      <c r="C42" s="37" t="n"/>
      <c r="D42" s="43" t="n"/>
      <c r="E42" s="37" t="n"/>
      <c r="F42" s="37" t="n"/>
      <c r="G42" s="37" t="n"/>
      <c r="H42" s="37" t="n"/>
      <c r="I42" s="37" t="n"/>
    </row>
    <row r="43" ht="15" customHeight="1" s="28">
      <c r="A43" s="37" t="n"/>
      <c r="B43" s="37" t="n"/>
      <c r="C43" s="37" t="n"/>
      <c r="D43" s="43" t="n"/>
      <c r="E43" s="37" t="n"/>
      <c r="F43" s="37" t="n"/>
      <c r="G43" s="37" t="n"/>
      <c r="H43" s="37" t="n"/>
      <c r="I43" s="37" t="n"/>
    </row>
    <row r="44" ht="15" customHeight="1" s="28">
      <c r="A44" s="37" t="n"/>
      <c r="B44" s="37" t="n"/>
      <c r="C44" s="37" t="n"/>
      <c r="D44" s="43" t="n"/>
      <c r="E44" s="37" t="n"/>
      <c r="F44" s="37" t="n"/>
      <c r="G44" s="37" t="n"/>
      <c r="H44" s="37" t="n"/>
      <c r="I44" s="37" t="n"/>
    </row>
    <row r="45" ht="15" customHeight="1" s="28">
      <c r="A45" s="37" t="n"/>
      <c r="B45" s="37" t="n"/>
      <c r="C45" s="37" t="n"/>
      <c r="D45" s="43" t="n"/>
      <c r="E45" s="37" t="n"/>
      <c r="F45" s="37" t="n"/>
      <c r="G45" s="37" t="n"/>
      <c r="H45" s="37" t="n"/>
      <c r="I45" s="37" t="n"/>
    </row>
    <row r="46" ht="15" customHeight="1" s="28">
      <c r="A46" s="37" t="n"/>
      <c r="B46" s="37" t="n"/>
      <c r="C46" s="37" t="n"/>
      <c r="D46" s="43" t="n"/>
      <c r="E46" s="37" t="n"/>
      <c r="F46" s="37" t="n"/>
      <c r="G46" s="37" t="n"/>
      <c r="H46" s="37" t="n"/>
      <c r="I46" s="37" t="n"/>
    </row>
    <row r="47" ht="15" customHeight="1" s="28">
      <c r="A47" s="37" t="n"/>
      <c r="B47" s="37" t="n"/>
      <c r="C47" s="37" t="n"/>
      <c r="D47" s="43" t="n"/>
      <c r="E47" s="37" t="n"/>
      <c r="F47" s="37" t="n"/>
      <c r="G47" s="37" t="n"/>
      <c r="H47" s="37" t="n"/>
      <c r="I47" s="37" t="n"/>
    </row>
    <row r="48" ht="15" customHeight="1" s="28">
      <c r="A48" s="37" t="n"/>
      <c r="B48" s="37" t="n"/>
      <c r="C48" s="37" t="n"/>
      <c r="D48" s="43" t="n"/>
      <c r="E48" s="37" t="n"/>
      <c r="F48" s="37" t="n"/>
      <c r="G48" s="37" t="n"/>
      <c r="H48" s="37" t="n"/>
      <c r="I48" s="37" t="n"/>
    </row>
    <row r="49" ht="15" customHeight="1" s="28">
      <c r="A49" s="37" t="n"/>
      <c r="B49" s="37" t="n"/>
      <c r="C49" s="37" t="n"/>
      <c r="D49" s="43" t="n"/>
      <c r="E49" s="37" t="n"/>
      <c r="F49" s="37" t="n"/>
      <c r="G49" s="37" t="n"/>
      <c r="H49" s="37" t="n"/>
      <c r="I49" s="37" t="n"/>
    </row>
    <row r="50" ht="15" customHeight="1" s="28">
      <c r="A50" s="37" t="n"/>
      <c r="B50" s="37" t="n"/>
      <c r="C50" s="37" t="n"/>
      <c r="D50" s="43" t="n"/>
      <c r="E50" s="37" t="n"/>
      <c r="F50" s="37" t="n"/>
      <c r="G50" s="37" t="n"/>
      <c r="H50" s="37" t="n"/>
      <c r="I50" s="37" t="n"/>
    </row>
    <row r="51" ht="15" customHeight="1" s="28">
      <c r="A51" s="37" t="n"/>
      <c r="B51" s="37" t="n"/>
      <c r="C51" s="37" t="n"/>
      <c r="D51" s="43" t="n"/>
      <c r="E51" s="37" t="n"/>
      <c r="F51" s="37" t="n"/>
      <c r="G51" s="37" t="n"/>
      <c r="H51" s="37" t="n"/>
      <c r="I51" s="37" t="n"/>
    </row>
    <row r="52" ht="15" customHeight="1" s="28">
      <c r="A52" s="37" t="n"/>
      <c r="B52" s="37" t="n"/>
      <c r="C52" s="37" t="n"/>
      <c r="D52" s="43" t="n"/>
      <c r="E52" s="37" t="n"/>
      <c r="F52" s="37" t="n"/>
      <c r="G52" s="37" t="n"/>
      <c r="H52" s="37" t="n"/>
      <c r="I52" s="37" t="n"/>
    </row>
    <row r="53" ht="15" customHeight="1" s="28">
      <c r="A53" s="37" t="n"/>
      <c r="B53" s="37" t="n"/>
      <c r="C53" s="37" t="n"/>
      <c r="D53" s="43" t="n"/>
      <c r="E53" s="37" t="n"/>
      <c r="F53" s="37" t="n"/>
      <c r="G53" s="37" t="n"/>
      <c r="H53" s="37" t="n"/>
      <c r="I53" s="37" t="n"/>
    </row>
    <row r="54" ht="15" customHeight="1" s="28">
      <c r="A54" s="37" t="n"/>
      <c r="B54" s="37" t="n"/>
      <c r="C54" s="37" t="n"/>
      <c r="D54" s="43" t="n"/>
      <c r="E54" s="37" t="n"/>
      <c r="F54" s="37" t="n"/>
      <c r="G54" s="37" t="n"/>
      <c r="H54" s="37" t="n"/>
      <c r="I54" s="37" t="n"/>
    </row>
    <row r="55" ht="15" customHeight="1" s="28">
      <c r="A55" s="37" t="n"/>
      <c r="B55" s="37" t="n"/>
      <c r="C55" s="37" t="n"/>
      <c r="D55" s="43" t="n"/>
      <c r="E55" s="37" t="n"/>
      <c r="F55" s="37" t="n"/>
      <c r="G55" s="37" t="n"/>
      <c r="H55" s="37" t="n"/>
      <c r="I55" s="37" t="n"/>
    </row>
    <row r="56" ht="15" customHeight="1" s="28">
      <c r="A56" s="37" t="n"/>
      <c r="B56" s="37" t="n"/>
      <c r="C56" s="37" t="n"/>
      <c r="D56" s="43" t="n"/>
      <c r="E56" s="37" t="n"/>
      <c r="F56" s="37" t="n"/>
      <c r="G56" s="37" t="n"/>
      <c r="H56" s="37" t="n"/>
      <c r="I56" s="37" t="n"/>
    </row>
    <row r="57" ht="15" customHeight="1" s="28">
      <c r="A57" s="37" t="n"/>
      <c r="B57" s="37" t="n"/>
      <c r="C57" s="37" t="n"/>
      <c r="D57" s="43" t="n"/>
      <c r="E57" s="37" t="n"/>
      <c r="F57" s="37" t="n"/>
      <c r="G57" s="37" t="n"/>
      <c r="H57" s="37" t="n"/>
      <c r="I57" s="37" t="n"/>
    </row>
    <row r="58" ht="15" customHeight="1" s="28">
      <c r="A58" s="37" t="n"/>
      <c r="B58" s="37" t="n"/>
      <c r="C58" s="37" t="n"/>
      <c r="D58" s="43" t="n"/>
      <c r="E58" s="37" t="n"/>
      <c r="F58" s="37" t="n"/>
      <c r="G58" s="37" t="n"/>
      <c r="H58" s="37" t="n"/>
      <c r="I58" s="37" t="n"/>
    </row>
    <row r="59" ht="15" customHeight="1" s="28">
      <c r="A59" s="37" t="n"/>
      <c r="B59" s="37" t="n"/>
      <c r="C59" s="37" t="n"/>
      <c r="D59" s="43" t="n"/>
      <c r="E59" s="37" t="n"/>
      <c r="F59" s="37" t="n"/>
      <c r="G59" s="37" t="n"/>
      <c r="H59" s="37" t="n"/>
      <c r="I59" s="37" t="n"/>
    </row>
    <row r="60" ht="15" customHeight="1" s="28">
      <c r="A60" s="37" t="n"/>
      <c r="B60" s="37" t="n"/>
      <c r="C60" s="37" t="n"/>
      <c r="D60" s="43" t="n"/>
      <c r="E60" s="37" t="n"/>
      <c r="F60" s="37" t="n"/>
      <c r="G60" s="37" t="n"/>
      <c r="H60" s="37" t="n"/>
      <c r="I60" s="37" t="n"/>
    </row>
    <row r="61" ht="15" customHeight="1" s="28">
      <c r="A61" s="37" t="n"/>
      <c r="B61" s="37" t="n"/>
      <c r="C61" s="37" t="n"/>
      <c r="D61" s="43" t="n"/>
      <c r="E61" s="37" t="n"/>
      <c r="F61" s="37" t="n"/>
      <c r="G61" s="37" t="n"/>
      <c r="H61" s="37" t="n"/>
      <c r="I61" s="37" t="n"/>
    </row>
    <row r="62" ht="15" customHeight="1" s="28">
      <c r="A62" s="37" t="n"/>
      <c r="B62" s="37" t="n"/>
      <c r="C62" s="37" t="n"/>
      <c r="D62" s="43" t="n"/>
      <c r="E62" s="37" t="n"/>
      <c r="F62" s="37" t="n"/>
      <c r="G62" s="37" t="n"/>
      <c r="H62" s="37" t="n"/>
      <c r="I62" s="37" t="n"/>
    </row>
    <row r="63" ht="15" customHeight="1" s="28">
      <c r="A63" s="37" t="n"/>
      <c r="B63" s="37" t="n"/>
      <c r="C63" s="37" t="n"/>
      <c r="D63" s="43" t="n"/>
      <c r="E63" s="37" t="n"/>
      <c r="F63" s="37" t="n"/>
      <c r="G63" s="37" t="n"/>
      <c r="H63" s="37" t="n"/>
      <c r="I63" s="37" t="n"/>
    </row>
    <row r="64" ht="15" customHeight="1" s="28">
      <c r="A64" s="37" t="n"/>
      <c r="B64" s="37" t="n"/>
      <c r="C64" s="37" t="n"/>
      <c r="D64" s="43" t="n"/>
      <c r="E64" s="37" t="n"/>
      <c r="F64" s="37" t="n"/>
      <c r="G64" s="37" t="n"/>
      <c r="H64" s="37" t="n"/>
      <c r="I64" s="37" t="n"/>
    </row>
    <row r="65" ht="15" customHeight="1" s="28">
      <c r="A65" s="37" t="n"/>
      <c r="B65" s="37" t="n"/>
      <c r="C65" s="37" t="n"/>
      <c r="D65" s="43" t="n"/>
      <c r="E65" s="37" t="n"/>
      <c r="F65" s="37" t="n"/>
      <c r="G65" s="37" t="n"/>
      <c r="H65" s="37" t="n"/>
      <c r="I65" s="37" t="n"/>
    </row>
    <row r="66" ht="15" customHeight="1" s="28">
      <c r="A66" s="37" t="n"/>
      <c r="B66" s="37" t="n"/>
      <c r="C66" s="37" t="n"/>
      <c r="D66" s="43" t="n"/>
      <c r="E66" s="37" t="n"/>
      <c r="F66" s="37" t="n"/>
      <c r="G66" s="37" t="n"/>
      <c r="H66" s="37" t="n"/>
      <c r="I66" s="37" t="n"/>
    </row>
    <row r="67" ht="15" customHeight="1" s="28">
      <c r="A67" s="37" t="n"/>
      <c r="B67" s="37" t="n"/>
      <c r="C67" s="37" t="n"/>
      <c r="D67" s="43" t="n"/>
      <c r="E67" s="37" t="n"/>
      <c r="F67" s="37" t="n"/>
      <c r="G67" s="37" t="n"/>
      <c r="H67" s="37" t="n"/>
      <c r="I67" s="37" t="n"/>
    </row>
    <row r="68" ht="15" customHeight="1" s="28">
      <c r="A68" s="37" t="n"/>
      <c r="B68" s="37" t="n"/>
      <c r="C68" s="37" t="n"/>
      <c r="D68" s="43" t="n"/>
      <c r="E68" s="37" t="n"/>
      <c r="F68" s="37" t="n"/>
      <c r="G68" s="37" t="n"/>
      <c r="H68" s="37" t="n"/>
      <c r="I68" s="37" t="n"/>
    </row>
    <row r="69" ht="15" customHeight="1" s="28">
      <c r="A69" s="37" t="n"/>
      <c r="B69" s="37" t="n"/>
      <c r="C69" s="37" t="n"/>
      <c r="D69" s="43" t="n"/>
      <c r="E69" s="37" t="n"/>
      <c r="F69" s="37" t="n"/>
      <c r="G69" s="37" t="n"/>
      <c r="H69" s="37" t="n"/>
      <c r="I69" s="37" t="n"/>
    </row>
    <row r="70" ht="15" customHeight="1" s="28">
      <c r="A70" s="37" t="n"/>
      <c r="B70" s="37" t="n"/>
      <c r="C70" s="37" t="n"/>
      <c r="D70" s="43" t="n"/>
      <c r="E70" s="37" t="n"/>
      <c r="F70" s="37" t="n"/>
      <c r="G70" s="37" t="n"/>
      <c r="H70" s="37" t="n"/>
      <c r="I70" s="37" t="n"/>
    </row>
    <row r="71" ht="15" customHeight="1" s="28">
      <c r="A71" s="37" t="n"/>
      <c r="B71" s="37" t="n"/>
      <c r="C71" s="37" t="n"/>
      <c r="D71" s="43" t="n"/>
      <c r="E71" s="37" t="n"/>
      <c r="F71" s="37" t="n"/>
      <c r="G71" s="37" t="n"/>
      <c r="H71" s="37" t="n"/>
      <c r="I71" s="37" t="n"/>
    </row>
    <row r="72" ht="15" customHeight="1" s="28">
      <c r="A72" s="37" t="n"/>
      <c r="B72" s="37" t="n"/>
      <c r="C72" s="37" t="n"/>
      <c r="D72" s="43" t="n"/>
      <c r="E72" s="37" t="n"/>
      <c r="F72" s="37" t="n"/>
      <c r="G72" s="37" t="n"/>
      <c r="H72" s="37" t="n"/>
      <c r="I72" s="37" t="n"/>
    </row>
    <row r="73" ht="15" customHeight="1" s="28">
      <c r="A73" s="37" t="n"/>
      <c r="B73" s="37" t="n"/>
      <c r="C73" s="37" t="n"/>
      <c r="D73" s="43" t="n"/>
      <c r="E73" s="37" t="n"/>
      <c r="F73" s="37" t="n"/>
      <c r="G73" s="37" t="n"/>
      <c r="H73" s="37" t="n"/>
      <c r="I73" s="37" t="n"/>
    </row>
    <row r="74" ht="15" customHeight="1" s="28">
      <c r="A74" s="37" t="n"/>
      <c r="B74" s="37" t="n"/>
      <c r="C74" s="37" t="n"/>
      <c r="D74" s="43" t="n"/>
      <c r="E74" s="37" t="n"/>
      <c r="F74" s="37" t="n"/>
      <c r="G74" s="37" t="n"/>
      <c r="H74" s="37" t="n"/>
      <c r="I74" s="37" t="n"/>
    </row>
    <row r="75" ht="15" customHeight="1" s="28">
      <c r="A75" s="37" t="n"/>
      <c r="B75" s="37" t="n"/>
      <c r="C75" s="37" t="n"/>
      <c r="D75" s="43" t="n"/>
      <c r="E75" s="37" t="n"/>
      <c r="F75" s="37" t="n"/>
      <c r="G75" s="37" t="n"/>
      <c r="H75" s="37" t="n"/>
      <c r="I75" s="37" t="n"/>
    </row>
    <row r="76" ht="15" customHeight="1" s="28">
      <c r="A76" s="37" t="n"/>
      <c r="B76" s="37" t="n"/>
      <c r="C76" s="37" t="n"/>
      <c r="D76" s="43" t="n"/>
      <c r="E76" s="37" t="n"/>
      <c r="F76" s="37" t="n"/>
      <c r="G76" s="37" t="n"/>
      <c r="H76" s="37" t="n"/>
      <c r="I76" s="37" t="n"/>
    </row>
    <row r="77" ht="15" customHeight="1" s="28">
      <c r="A77" s="37" t="n"/>
      <c r="B77" s="37" t="n"/>
      <c r="C77" s="37" t="n"/>
      <c r="D77" s="43" t="n"/>
      <c r="E77" s="37" t="n"/>
      <c r="F77" s="37" t="n"/>
      <c r="G77" s="37" t="n"/>
      <c r="H77" s="37" t="n"/>
      <c r="I77" s="37" t="n"/>
    </row>
    <row r="78" ht="15" customHeight="1" s="28">
      <c r="A78" s="37" t="n"/>
      <c r="B78" s="37" t="n"/>
      <c r="C78" s="37" t="n"/>
      <c r="D78" s="43" t="n"/>
      <c r="E78" s="37" t="n"/>
      <c r="F78" s="37" t="n"/>
      <c r="G78" s="37" t="n"/>
      <c r="H78" s="37" t="n"/>
      <c r="I78" s="37" t="n"/>
    </row>
    <row r="79" ht="15" customHeight="1" s="28">
      <c r="A79" s="37" t="n"/>
      <c r="B79" s="37" t="n"/>
      <c r="C79" s="37" t="n"/>
      <c r="D79" s="43" t="n"/>
      <c r="E79" s="37" t="n"/>
      <c r="F79" s="37" t="n"/>
      <c r="G79" s="37" t="n"/>
      <c r="H79" s="37" t="n"/>
      <c r="I79" s="37" t="n"/>
    </row>
    <row r="80" ht="15" customHeight="1" s="28">
      <c r="A80" s="37" t="n"/>
      <c r="B80" s="37" t="n"/>
      <c r="C80" s="37" t="n"/>
      <c r="D80" s="43" t="n"/>
      <c r="E80" s="37" t="n"/>
      <c r="F80" s="37" t="n"/>
      <c r="G80" s="37" t="n"/>
      <c r="H80" s="37" t="n"/>
      <c r="I80" s="37" t="n"/>
    </row>
    <row r="81" ht="15" customHeight="1" s="28">
      <c r="A81" s="37" t="n"/>
      <c r="B81" s="37" t="n"/>
      <c r="C81" s="37" t="n"/>
      <c r="D81" s="43" t="n"/>
      <c r="E81" s="37" t="n"/>
      <c r="F81" s="37" t="n"/>
      <c r="G81" s="37" t="n"/>
      <c r="H81" s="37" t="n"/>
      <c r="I81" s="37" t="n"/>
    </row>
    <row r="82" ht="15" customHeight="1" s="28">
      <c r="A82" s="37" t="n"/>
      <c r="B82" s="37" t="n"/>
      <c r="C82" s="37" t="n"/>
      <c r="D82" s="43" t="n"/>
      <c r="E82" s="37" t="n"/>
      <c r="F82" s="37" t="n"/>
      <c r="G82" s="37" t="n"/>
      <c r="H82" s="37" t="n"/>
      <c r="I82" s="37" t="n"/>
    </row>
    <row r="83" ht="15" customHeight="1" s="28">
      <c r="A83" s="37" t="n"/>
      <c r="B83" s="37" t="n"/>
      <c r="C83" s="37" t="n"/>
      <c r="D83" s="43" t="n"/>
      <c r="E83" s="37" t="n"/>
      <c r="F83" s="37" t="n"/>
      <c r="G83" s="37" t="n"/>
      <c r="H83" s="37" t="n"/>
      <c r="I83" s="37" t="n"/>
    </row>
    <row r="84" ht="15" customHeight="1" s="28">
      <c r="A84" s="37" t="n"/>
      <c r="B84" s="37" t="n"/>
      <c r="C84" s="37" t="n"/>
      <c r="D84" s="43" t="n"/>
      <c r="E84" s="37" t="n"/>
      <c r="F84" s="37" t="n"/>
      <c r="G84" s="37" t="n"/>
      <c r="H84" s="37" t="n"/>
      <c r="I84" s="37" t="n"/>
    </row>
    <row r="85" ht="15" customHeight="1" s="28">
      <c r="A85" s="37" t="n"/>
      <c r="B85" s="37" t="n"/>
      <c r="C85" s="37" t="n"/>
      <c r="D85" s="43" t="n"/>
      <c r="E85" s="37" t="n"/>
      <c r="F85" s="37" t="n"/>
      <c r="G85" s="37" t="n"/>
      <c r="H85" s="37" t="n"/>
      <c r="I85" s="37" t="n"/>
    </row>
  </sheetData>
  <dataValidations count="1">
    <dataValidation sqref="E2:E1000" showDropDown="0" showInputMessage="0" showErrorMessage="0" allowBlank="1" errorTitle="Invalid BudgetCat" error="Pick from: Housing, Groceries, Utilities, Transport, Childcare, Education…" type="list" errorStyle="stop" operator="between">
      <formula1>Lists!$K$3:$K$18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27" min="1" max="3"/>
    <col width="14" customWidth="1" style="27" min="4" max="6"/>
    <col width="28" customWidth="1" style="27" min="7" max="7"/>
    <col width="18" customWidth="1" style="27" min="8" max="8"/>
    <col width="14" customWidth="1" style="27" min="9" max="9"/>
  </cols>
  <sheetData>
    <row r="1" ht="27.75" customHeight="1" s="28">
      <c r="A1" s="34" t="inlineStr">
        <is>
          <t>Category</t>
        </is>
      </c>
      <c r="B1" s="34" t="inlineStr">
        <is>
          <t>Monthly Target (ILS)</t>
        </is>
      </c>
      <c r="C1" s="34" t="inlineStr">
        <is>
          <t>Actual (current month)</t>
        </is>
      </c>
      <c r="D1" s="34" t="inlineStr">
        <is>
          <t>Variance</t>
        </is>
      </c>
      <c r="E1" s="34" t="inlineStr">
        <is>
          <t>% of Target</t>
        </is>
      </c>
      <c r="F1" s="34" t="inlineStr">
        <is>
          <t>YTD Actual</t>
        </is>
      </c>
      <c r="G1" s="34" t="inlineStr">
        <is>
          <t>Notes</t>
        </is>
      </c>
      <c r="H1" s="44" t="inlineStr">
        <is>
          <t>As-of date</t>
        </is>
      </c>
      <c r="I1" s="45">
        <f>TODAY()</f>
        <v/>
      </c>
    </row>
    <row r="2" ht="15" customHeight="1" s="28">
      <c r="A2" s="37" t="inlineStr">
        <is>
          <t>Housing</t>
        </is>
      </c>
      <c r="B2" s="43" t="n">
        <v>8500</v>
      </c>
      <c r="C2" s="43">
        <f>IFERROR(-SUMIFS('Finance-Txns'!D:D,'Finance-Txns'!E:E,A2,'Finance-Txns'!A:A,"&gt;="&amp;DATE(YEAR($I$1),MONTH($I$1),1),'Finance-Txns'!A:A,"&lt;"&amp;DATE(YEAR($I$1),MONTH($I$1)+1,1)),0)</f>
        <v/>
      </c>
      <c r="D2" s="43">
        <f>B2-C2</f>
        <v/>
      </c>
      <c r="E2" s="46">
        <f>IFERROR(C2/B2,0)</f>
        <v/>
      </c>
      <c r="F2" s="43">
        <f>IFERROR(-SUMIFS('Finance-Txns'!D:D,'Finance-Txns'!E:E,A2,'Finance-Txns'!A:A,"&gt;="&amp;DATE(YEAR($I$1),1,1),'Finance-Txns'!A:A,"&lt;="&amp;$I$1),0)</f>
        <v/>
      </c>
      <c r="G2" s="37" t="n"/>
      <c r="H2" s="47" t="inlineStr">
        <is>
          <t>Current month tag</t>
        </is>
      </c>
      <c r="I2" s="27">
        <f>TEXT(I1,"yyyy-mm")</f>
        <v/>
      </c>
    </row>
    <row r="3" ht="15" customHeight="1" s="28">
      <c r="A3" s="37" t="inlineStr">
        <is>
          <t>Groceries</t>
        </is>
      </c>
      <c r="B3" s="43" t="n">
        <v>4000</v>
      </c>
      <c r="C3" s="43">
        <f>IFERROR(-SUMIFS('Finance-Txns'!D:D,'Finance-Txns'!E:E,A3,'Finance-Txns'!A:A,"&gt;="&amp;DATE(YEAR($I$1),MONTH($I$1),1),'Finance-Txns'!A:A,"&lt;"&amp;DATE(YEAR($I$1),MONTH($I$1)+1,1)),0)</f>
        <v/>
      </c>
      <c r="D3" s="43">
        <f>B3-C3</f>
        <v/>
      </c>
      <c r="E3" s="46">
        <f>IFERROR(C3/B3,0)</f>
        <v/>
      </c>
      <c r="F3" s="43">
        <f>IFERROR(-SUMIFS('Finance-Txns'!D:D,'Finance-Txns'!E:E,A3,'Finance-Txns'!A:A,"&gt;="&amp;DATE(YEAR($I$1),1,1),'Finance-Txns'!A:A,"&lt;="&amp;$I$1),0)</f>
        <v/>
      </c>
      <c r="G3" s="37" t="n"/>
    </row>
    <row r="4" ht="15" customHeight="1" s="28">
      <c r="A4" s="37" t="inlineStr">
        <is>
          <t>Transport</t>
        </is>
      </c>
      <c r="B4" s="43" t="n">
        <v>1500</v>
      </c>
      <c r="C4" s="43">
        <f>IFERROR(-SUMIFS('Finance-Txns'!D:D,'Finance-Txns'!E:E,A4,'Finance-Txns'!A:A,"&gt;="&amp;DATE(YEAR($I$1),MONTH($I$1),1),'Finance-Txns'!A:A,"&lt;"&amp;DATE(YEAR($I$1),MONTH($I$1)+1,1)),0)</f>
        <v/>
      </c>
      <c r="D4" s="43">
        <f>B4-C4</f>
        <v/>
      </c>
      <c r="E4" s="46">
        <f>IFERROR(C4/B4,0)</f>
        <v/>
      </c>
      <c r="F4" s="43">
        <f>IFERROR(-SUMIFS('Finance-Txns'!D:D,'Finance-Txns'!E:E,A4,'Finance-Txns'!A:A,"&gt;="&amp;DATE(YEAR($I$1),1,1),'Finance-Txns'!A:A,"&lt;="&amp;$I$1),0)</f>
        <v/>
      </c>
      <c r="G4" s="37" t="n"/>
    </row>
    <row r="5" ht="15" customHeight="1" s="28">
      <c r="A5" s="37" t="inlineStr">
        <is>
          <t>Childcare</t>
        </is>
      </c>
      <c r="B5" s="43" t="n">
        <v>5000</v>
      </c>
      <c r="C5" s="43">
        <f>IFERROR(-SUMIFS('Finance-Txns'!D:D,'Finance-Txns'!E:E,A5,'Finance-Txns'!A:A,"&gt;="&amp;DATE(YEAR($I$1),MONTH($I$1),1),'Finance-Txns'!A:A,"&lt;"&amp;DATE(YEAR($I$1),MONTH($I$1)+1,1)),0)</f>
        <v/>
      </c>
      <c r="D5" s="43">
        <f>B5-C5</f>
        <v/>
      </c>
      <c r="E5" s="46">
        <f>IFERROR(C5/B5,0)</f>
        <v/>
      </c>
      <c r="F5" s="43">
        <f>IFERROR(-SUMIFS('Finance-Txns'!D:D,'Finance-Txns'!E:E,A5,'Finance-Txns'!A:A,"&gt;="&amp;DATE(YEAR($I$1),1,1),'Finance-Txns'!A:A,"&lt;="&amp;$I$1),0)</f>
        <v/>
      </c>
      <c r="G5" s="37" t="n"/>
    </row>
    <row r="6" ht="15" customHeight="1" s="28">
      <c r="A6" s="37" t="inlineStr">
        <is>
          <t>Utilities</t>
        </is>
      </c>
      <c r="B6" s="43" t="n">
        <v>1200</v>
      </c>
      <c r="C6" s="43">
        <f>IFERROR(-SUMIFS('Finance-Txns'!D:D,'Finance-Txns'!E:E,A6,'Finance-Txns'!A:A,"&gt;="&amp;DATE(YEAR($I$1),MONTH($I$1),1),'Finance-Txns'!A:A,"&lt;"&amp;DATE(YEAR($I$1),MONTH($I$1)+1,1)),0)</f>
        <v/>
      </c>
      <c r="D6" s="43">
        <f>B6-C6</f>
        <v/>
      </c>
      <c r="E6" s="46">
        <f>IFERROR(C6/B6,0)</f>
        <v/>
      </c>
      <c r="F6" s="43">
        <f>IFERROR(-SUMIFS('Finance-Txns'!D:D,'Finance-Txns'!E:E,A6,'Finance-Txns'!A:A,"&gt;="&amp;DATE(YEAR($I$1),1,1),'Finance-Txns'!A:A,"&lt;="&amp;$I$1),0)</f>
        <v/>
      </c>
      <c r="G6" s="37" t="n"/>
    </row>
    <row r="7" ht="15" customHeight="1" s="28">
      <c r="A7" s="37" t="inlineStr">
        <is>
          <t>Health</t>
        </is>
      </c>
      <c r="B7" s="43" t="n">
        <v>800</v>
      </c>
      <c r="C7" s="43">
        <f>IFERROR(-SUMIFS('Finance-Txns'!D:D,'Finance-Txns'!E:E,A7,'Finance-Txns'!A:A,"&gt;="&amp;DATE(YEAR($I$1),MONTH($I$1),1),'Finance-Txns'!A:A,"&lt;"&amp;DATE(YEAR($I$1),MONTH($I$1)+1,1)),0)</f>
        <v/>
      </c>
      <c r="D7" s="43">
        <f>B7-C7</f>
        <v/>
      </c>
      <c r="E7" s="46">
        <f>IFERROR(C7/B7,0)</f>
        <v/>
      </c>
      <c r="F7" s="43">
        <f>IFERROR(-SUMIFS('Finance-Txns'!D:D,'Finance-Txns'!E:E,A7,'Finance-Txns'!A:A,"&gt;="&amp;DATE(YEAR($I$1),1,1),'Finance-Txns'!A:A,"&lt;="&amp;$I$1),0)</f>
        <v/>
      </c>
      <c r="G7" s="37" t="n"/>
    </row>
    <row r="8" ht="15" customHeight="1" s="28">
      <c r="A8" s="37" t="inlineStr">
        <is>
          <t>Entertainment</t>
        </is>
      </c>
      <c r="B8" s="43" t="n">
        <v>800</v>
      </c>
      <c r="C8" s="43">
        <f>IFERROR(-SUMIFS('Finance-Txns'!D:D,'Finance-Txns'!E:E,A8,'Finance-Txns'!A:A,"&gt;="&amp;DATE(YEAR($I$1),MONTH($I$1),1),'Finance-Txns'!A:A,"&lt;"&amp;DATE(YEAR($I$1),MONTH($I$1)+1,1)),0)</f>
        <v/>
      </c>
      <c r="D8" s="43">
        <f>B8-C8</f>
        <v/>
      </c>
      <c r="E8" s="46">
        <f>IFERROR(C8/B8,0)</f>
        <v/>
      </c>
      <c r="F8" s="43">
        <f>IFERROR(-SUMIFS('Finance-Txns'!D:D,'Finance-Txns'!E:E,A8,'Finance-Txns'!A:A,"&gt;="&amp;DATE(YEAR($I$1),1,1),'Finance-Txns'!A:A,"&lt;="&amp;$I$1),0)</f>
        <v/>
      </c>
      <c r="G8" s="37" t="n"/>
    </row>
    <row r="9" ht="15" customHeight="1" s="28">
      <c r="A9" s="37" t="inlineStr">
        <is>
          <t>Dining out</t>
        </is>
      </c>
      <c r="B9" s="43" t="n">
        <v>1000</v>
      </c>
      <c r="C9" s="43">
        <f>IFERROR(-SUMIFS('Finance-Txns'!D:D,'Finance-Txns'!E:E,A9,'Finance-Txns'!A:A,"&gt;="&amp;DATE(YEAR($I$1),MONTH($I$1),1),'Finance-Txns'!A:A,"&lt;"&amp;DATE(YEAR($I$1),MONTH($I$1)+1,1)),0)</f>
        <v/>
      </c>
      <c r="D9" s="43">
        <f>B9-C9</f>
        <v/>
      </c>
      <c r="E9" s="46">
        <f>IFERROR(C9/B9,0)</f>
        <v/>
      </c>
      <c r="F9" s="43">
        <f>IFERROR(-SUMIFS('Finance-Txns'!D:D,'Finance-Txns'!E:E,A9,'Finance-Txns'!A:A,"&gt;="&amp;DATE(YEAR($I$1),1,1),'Finance-Txns'!A:A,"&lt;="&amp;$I$1),0)</f>
        <v/>
      </c>
      <c r="G9" s="37" t="n"/>
    </row>
    <row r="10" ht="15" customHeight="1" s="28">
      <c r="A10" s="37" t="inlineStr">
        <is>
          <t>Subscriptions</t>
        </is>
      </c>
      <c r="B10" s="43" t="n">
        <v>400</v>
      </c>
      <c r="C10" s="43">
        <f>IFERROR(-SUMIFS('Finance-Txns'!D:D,'Finance-Txns'!E:E,A10,'Finance-Txns'!A:A,"&gt;="&amp;DATE(YEAR($I$1),MONTH($I$1),1),'Finance-Txns'!A:A,"&lt;"&amp;DATE(YEAR($I$1),MONTH($I$1)+1,1)),0)</f>
        <v/>
      </c>
      <c r="D10" s="43">
        <f>B10-C10</f>
        <v/>
      </c>
      <c r="E10" s="46">
        <f>IFERROR(C10/B10,0)</f>
        <v/>
      </c>
      <c r="F10" s="43">
        <f>IFERROR(-SUMIFS('Finance-Txns'!D:D,'Finance-Txns'!E:E,A10,'Finance-Txns'!A:A,"&gt;="&amp;DATE(YEAR($I$1),1,1),'Finance-Txns'!A:A,"&lt;="&amp;$I$1),0)</f>
        <v/>
      </c>
      <c r="G10" s="37" t="n"/>
    </row>
    <row r="11" ht="15" customHeight="1" s="28">
      <c r="A11" s="37" t="inlineStr">
        <is>
          <t>Savings</t>
        </is>
      </c>
      <c r="B11" s="43" t="n">
        <v>5000</v>
      </c>
      <c r="C11" s="43">
        <f>IFERROR(-SUMIFS('Finance-Txns'!D:D,'Finance-Txns'!E:E,A11,'Finance-Txns'!A:A,"&gt;="&amp;DATE(YEAR($I$1),MONTH($I$1),1),'Finance-Txns'!A:A,"&lt;"&amp;DATE(YEAR($I$1),MONTH($I$1)+1,1)),0)</f>
        <v/>
      </c>
      <c r="D11" s="43">
        <f>B11-C11</f>
        <v/>
      </c>
      <c r="E11" s="46">
        <f>IFERROR(C11/B11,0)</f>
        <v/>
      </c>
      <c r="F11" s="43">
        <f>IFERROR(-SUMIFS('Finance-Txns'!D:D,'Finance-Txns'!E:E,A11,'Finance-Txns'!A:A,"&gt;="&amp;DATE(YEAR($I$1),1,1),'Finance-Txns'!A:A,"&lt;="&amp;$I$1),0)</f>
        <v/>
      </c>
      <c r="G11" s="37" t="n"/>
    </row>
    <row r="12" ht="15" customHeight="1" s="28">
      <c r="A12" s="37" t="inlineStr">
        <is>
          <t>Other</t>
        </is>
      </c>
      <c r="B12" s="43" t="n">
        <v>500</v>
      </c>
      <c r="C12" s="43">
        <f>IFERROR(-SUMIFS('Finance-Txns'!D:D,'Finance-Txns'!E:E,A12,'Finance-Txns'!A:A,"&gt;="&amp;DATE(YEAR($I$1),MONTH($I$1),1),'Finance-Txns'!A:A,"&lt;"&amp;DATE(YEAR($I$1),MONTH($I$1)+1,1)),0)</f>
        <v/>
      </c>
      <c r="D12" s="43">
        <f>B12-C12</f>
        <v/>
      </c>
      <c r="E12" s="46">
        <f>IFERROR(C12/B12,0)</f>
        <v/>
      </c>
      <c r="F12" s="43">
        <f>IFERROR(-SUMIFS('Finance-Txns'!D:D,'Finance-Txns'!E:E,A12,'Finance-Txns'!A:A,"&gt;="&amp;DATE(YEAR($I$1),1,1),'Finance-Txns'!A:A,"&lt;="&amp;$I$1),0)</f>
        <v/>
      </c>
      <c r="G12" s="37" t="n"/>
    </row>
    <row r="13" ht="15" customHeight="1" s="28">
      <c r="A13" s="48" t="inlineStr">
        <is>
          <t>TOTAL</t>
        </is>
      </c>
      <c r="B13" s="49">
        <f>SUM(B2:B12)</f>
        <v/>
      </c>
      <c r="C13" s="49">
        <f>SUM(C2:C12)</f>
        <v/>
      </c>
      <c r="D13" s="49">
        <f>B13-C13</f>
        <v/>
      </c>
      <c r="E13" s="50">
        <f>IFERROR(C13/B13,0)</f>
        <v/>
      </c>
      <c r="F13" s="49">
        <f>SUM(F2:F12)</f>
        <v/>
      </c>
      <c r="G13" s="51" t="n"/>
    </row>
    <row r="14" ht="15" customHeight="1" s="28"/>
  </sheetData>
  <dataValidations count="1">
    <dataValidation sqref="A2:A1000" showDropDown="0" showInputMessage="0" showErrorMessage="0" allowBlank="1" errorTitle="Invalid BudgetCat" error="Pick from: Housing, Groceries, Utilities, Transport, Childcare, Education…" type="list" errorStyle="stop" operator="between">
      <formula1>Lists!$K$3:$K$18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0" customWidth="1" style="27" min="2" max="2"/>
    <col width="11" customWidth="1" style="27" min="3" max="3"/>
    <col width="12" customWidth="1" style="27" min="4" max="4"/>
    <col width="36" customWidth="1" style="27" min="5" max="5"/>
    <col width="11" customWidth="1" style="27" min="6" max="6"/>
    <col width="12" customWidth="1" style="27" min="7" max="8"/>
    <col width="28" customWidth="1" style="27" min="9" max="9"/>
  </cols>
  <sheetData>
    <row r="1" ht="27.75" customHeight="1" s="28">
      <c r="A1" s="34" t="inlineStr">
        <is>
          <t>Goal</t>
        </is>
      </c>
      <c r="B1" s="34" t="inlineStr">
        <is>
          <t>Owner</t>
        </is>
      </c>
      <c r="C1" s="34" t="inlineStr">
        <is>
          <t>Horizon</t>
        </is>
      </c>
      <c r="D1" s="34" t="inlineStr">
        <is>
          <t>Target Date</t>
        </is>
      </c>
      <c r="E1" s="34" t="inlineStr">
        <is>
          <t>90-Day Milestone</t>
        </is>
      </c>
      <c r="F1" s="34" t="inlineStr">
        <is>
          <t>% Complete</t>
        </is>
      </c>
      <c r="G1" s="34" t="inlineStr">
        <is>
          <t>Last Update</t>
        </is>
      </c>
      <c r="H1" s="34" t="inlineStr">
        <is>
          <t>Status</t>
        </is>
      </c>
      <c r="I1" s="34" t="inlineStr">
        <is>
          <t>Notes</t>
        </is>
      </c>
    </row>
    <row r="2" ht="36" customHeight="1" s="28">
      <c r="A2" s="35" t="inlineStr">
        <is>
          <t>[Buy a home in the Center]</t>
        </is>
      </c>
      <c r="B2" s="35" t="inlineStr">
        <is>
          <t>Both</t>
        </is>
      </c>
      <c r="C2" s="35" t="inlineStr">
        <is>
          <t>3 years</t>
        </is>
      </c>
      <c r="D2" s="36" t="n">
        <v>47239</v>
      </c>
      <c r="E2" s="35" t="inlineStr">
        <is>
          <t>Open dedicated savings account + 30k₪ in</t>
        </is>
      </c>
      <c r="F2" s="35" t="n">
        <v>5</v>
      </c>
      <c r="G2" s="36" t="n">
        <v>46167</v>
      </c>
      <c r="H2" s="35" t="inlineStr">
        <is>
          <t>On track</t>
        </is>
      </c>
      <c r="I2" s="35" t="inlineStr">
        <is>
          <t>Need partner alignment on neighborhood</t>
        </is>
      </c>
    </row>
    <row r="3" ht="36" customHeight="1" s="28">
      <c r="A3" s="35" t="inlineStr">
        <is>
          <t>[60k₪ emergency fund]</t>
        </is>
      </c>
      <c r="B3" s="35" t="inlineStr">
        <is>
          <t>Adar</t>
        </is>
      </c>
      <c r="C3" s="35" t="inlineStr">
        <is>
          <t>1 year</t>
        </is>
      </c>
      <c r="D3" s="36" t="n">
        <v>46508</v>
      </c>
      <c r="E3" s="35" t="inlineStr">
        <is>
          <t>Reach 20k₪</t>
        </is>
      </c>
      <c r="F3" s="35" t="n">
        <v>20</v>
      </c>
      <c r="G3" s="36" t="n">
        <v>46167</v>
      </c>
      <c r="H3" s="35" t="inlineStr">
        <is>
          <t>On track</t>
        </is>
      </c>
      <c r="I3" s="35" t="n"/>
    </row>
    <row r="4" ht="36" customHeight="1" s="28">
      <c r="A4" s="35" t="inlineStr">
        <is>
          <t>[Career: lead larger team]</t>
        </is>
      </c>
      <c r="B4" s="35" t="inlineStr">
        <is>
          <t>Partner</t>
        </is>
      </c>
      <c r="C4" s="35" t="inlineStr">
        <is>
          <t>2 years</t>
        </is>
      </c>
      <c r="D4" s="36" t="n">
        <v>46874</v>
      </c>
      <c r="E4" s="35" t="inlineStr">
        <is>
          <t>Take internal management course</t>
        </is>
      </c>
      <c r="F4" s="35" t="n">
        <v>0</v>
      </c>
      <c r="G4" s="36" t="n">
        <v>46167</v>
      </c>
      <c r="H4" s="35" t="inlineStr">
        <is>
          <t>Not started</t>
        </is>
      </c>
      <c r="I4" s="35" t="n"/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</sheetData>
  <dataValidations count="3">
    <dataValidation sqref="B2:B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  <dataValidation sqref="C2:C1000" showDropDown="0" showInputMessage="0" showErrorMessage="0" allowBlank="1" errorTitle="Invalid Horizon" error="Pick from: 3 months, 6 months, 1 year, 3 years, 5 years, 10+ years…" type="list" errorStyle="stop" operator="between">
      <formula1>Lists!$I$3:$I$8</formula1>
      <formula2>0</formula2>
    </dataValidation>
    <dataValidation sqref="H2:H1000" showDropDown="0" showInputMessage="0" showErrorMessage="0" allowBlank="1" errorTitle="Invalid GoalStatus" error="Pick from: Not started, On track, At risk, Blocked, Done, Paused…" type="list" errorStyle="stop" operator="between">
      <formula1>Lists!$J$3:$J$8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7" min="1" max="1"/>
    <col width="22" customWidth="1" style="27" min="2" max="2"/>
    <col width="16" customWidth="1" style="27" min="3" max="3"/>
    <col width="18" customWidth="1" style="27" min="4" max="4"/>
    <col width="14" customWidth="1" style="27" min="5" max="5"/>
    <col width="18" customWidth="1" style="27" min="6" max="6"/>
    <col width="28" customWidth="1" style="27" min="7" max="8"/>
    <col width="24" customWidth="1" style="27" min="9" max="9"/>
  </cols>
  <sheetData>
    <row r="1" ht="27.75" customHeight="1" s="28">
      <c r="A1" s="34" t="inlineStr">
        <is>
          <t>Child</t>
        </is>
      </c>
      <c r="B1" s="34" t="inlineStr">
        <is>
          <t>Institution</t>
        </is>
      </c>
      <c r="C1" s="34" t="inlineStr">
        <is>
          <t>Year/Grade</t>
        </is>
      </c>
      <c r="D1" s="34" t="inlineStr">
        <is>
          <t>Teacher/Caregiver</t>
        </is>
      </c>
      <c r="E1" s="34" t="inlineStr">
        <is>
          <t>Next Key Date</t>
        </is>
      </c>
      <c r="F1" s="34" t="inlineStr">
        <is>
          <t>Type</t>
        </is>
      </c>
      <c r="G1" s="34" t="inlineStr">
        <is>
          <t>Action Needed</t>
        </is>
      </c>
      <c r="H1" s="34" t="inlineStr">
        <is>
          <t>Contact</t>
        </is>
      </c>
      <c r="I1" s="34" t="inlineStr">
        <is>
          <t>Notes</t>
        </is>
      </c>
    </row>
    <row r="2" ht="36" customHeight="1" s="28">
      <c r="A2" s="35" t="inlineStr">
        <is>
          <t>[Child 1]</t>
        </is>
      </c>
      <c r="B2" s="35" t="inlineStr">
        <is>
          <t>[Preschool name]</t>
        </is>
      </c>
      <c r="C2" s="35" t="inlineStr">
        <is>
          <t>Gan Trom-Hova</t>
        </is>
      </c>
      <c r="D2" s="35" t="inlineStr">
        <is>
          <t>[Teacher]</t>
        </is>
      </c>
      <c r="E2" s="36" t="n">
        <v>46266</v>
      </c>
      <c r="F2" s="35" t="inlineStr">
        <is>
          <t>School year start</t>
        </is>
      </c>
      <c r="G2" s="35" t="inlineStr">
        <is>
          <t>Buy supplies, label clothes</t>
        </is>
      </c>
      <c r="H2" s="35" t="inlineStr">
        <is>
          <t>[teacher@school]</t>
        </is>
      </c>
      <c r="I2" s="35" t="n"/>
    </row>
    <row r="3" ht="36" customHeight="1" s="28">
      <c r="A3" s="35" t="inlineStr">
        <is>
          <t>[Child 1]</t>
        </is>
      </c>
      <c r="B3" s="35" t="inlineStr">
        <is>
          <t>[Preschool name]</t>
        </is>
      </c>
      <c r="C3" s="35" t="inlineStr">
        <is>
          <t>Gan Trom-Hova</t>
        </is>
      </c>
      <c r="D3" s="35" t="inlineStr">
        <is>
          <t>[Teacher]</t>
        </is>
      </c>
      <c r="E3" s="36" t="n">
        <v>46346</v>
      </c>
      <c r="F3" s="35" t="inlineStr">
        <is>
          <t>Parent-teacher</t>
        </is>
      </c>
      <c r="G3" s="35" t="inlineStr">
        <is>
          <t>Schedule meeting slot</t>
        </is>
      </c>
      <c r="H3" s="35" t="inlineStr">
        <is>
          <t>[teacher@school]</t>
        </is>
      </c>
      <c r="I3" s="35" t="n"/>
    </row>
    <row r="4" ht="36" customHeight="1" s="28">
      <c r="A4" s="35" t="inlineStr">
        <is>
          <t>[Child 2]</t>
        </is>
      </c>
      <c r="B4" s="35" t="inlineStr">
        <is>
          <t>[Daycare name]</t>
        </is>
      </c>
      <c r="C4" s="35" t="inlineStr">
        <is>
          <t>Maon</t>
        </is>
      </c>
      <c r="D4" s="35" t="inlineStr">
        <is>
          <t>[Caregiver]</t>
        </is>
      </c>
      <c r="E4" s="36" t="n">
        <v>46371</v>
      </c>
      <c r="F4" s="35" t="inlineStr">
        <is>
          <t>1st-grade registration opens</t>
        </is>
      </c>
      <c r="G4" s="35" t="inlineStr">
        <is>
          <t>Register on city portal</t>
        </is>
      </c>
      <c r="H4" s="35" t="inlineStr">
        <is>
          <t>[city helpdesk]</t>
        </is>
      </c>
      <c r="I4" s="35" t="inlineStr">
        <is>
          <t>Adar to lead</t>
        </is>
      </c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26" customWidth="1" style="27" min="2" max="2"/>
    <col width="18" customWidth="1" style="27" min="3" max="3"/>
    <col width="12" customWidth="1" style="27" min="4" max="6"/>
    <col width="28" customWidth="1" style="27" min="7" max="7"/>
    <col width="18" customWidth="1" style="27" min="8" max="8"/>
    <col width="24" customWidth="1" style="27" min="9" max="9"/>
  </cols>
  <sheetData>
    <row r="1" ht="27.75" customHeight="1" s="28">
      <c r="A1" s="34" t="inlineStr">
        <is>
          <t>Person</t>
        </is>
      </c>
      <c r="B1" s="34" t="inlineStr">
        <is>
          <t>Provider</t>
        </is>
      </c>
      <c r="C1" s="34" t="inlineStr">
        <is>
          <t>Specialty</t>
        </is>
      </c>
      <c r="D1" s="34" t="inlineStr">
        <is>
          <t>Last Visit</t>
        </is>
      </c>
      <c r="E1" s="34" t="inlineStr">
        <is>
          <t>Next Due</t>
        </is>
      </c>
      <c r="F1" s="34" t="inlineStr">
        <is>
          <t>Frequency</t>
        </is>
      </c>
      <c r="G1" s="34" t="inlineStr">
        <is>
          <t>Action Needed</t>
        </is>
      </c>
      <c r="H1" s="34" t="inlineStr">
        <is>
          <t>Contact</t>
        </is>
      </c>
      <c r="I1" s="34" t="inlineStr">
        <is>
          <t>Notes</t>
        </is>
      </c>
    </row>
    <row r="2" ht="36" customHeight="1" s="28">
      <c r="A2" s="35" t="inlineStr">
        <is>
          <t>[Adar]</t>
        </is>
      </c>
      <c r="B2" s="35" t="inlineStr">
        <is>
          <t>Dr. Cohen — Clalit</t>
        </is>
      </c>
      <c r="C2" s="35" t="inlineStr">
        <is>
          <t>Family doctor</t>
        </is>
      </c>
      <c r="D2" s="36" t="n">
        <v>46032</v>
      </c>
      <c r="E2" s="36" t="n">
        <v>46397</v>
      </c>
      <c r="F2" s="35" t="inlineStr">
        <is>
          <t>Yearly</t>
        </is>
      </c>
      <c r="G2" s="35" t="inlineStr">
        <is>
          <t>Schedule annual check</t>
        </is>
      </c>
      <c r="H2" s="35" t="inlineStr">
        <is>
          <t>[clinic phone]</t>
        </is>
      </c>
      <c r="I2" s="35" t="n"/>
    </row>
    <row r="3" ht="36" customHeight="1" s="28">
      <c r="A3" s="35" t="inlineStr">
        <is>
          <t>[Adar]</t>
        </is>
      </c>
      <c r="B3" s="35" t="inlineStr">
        <is>
          <t>Dr. Stern</t>
        </is>
      </c>
      <c r="C3" s="35" t="inlineStr">
        <is>
          <t>Dentist</t>
        </is>
      </c>
      <c r="D3" s="36" t="n">
        <v>46068</v>
      </c>
      <c r="E3" s="36" t="n">
        <v>46249</v>
      </c>
      <c r="F3" s="35" t="inlineStr">
        <is>
          <t>6-month</t>
        </is>
      </c>
      <c r="G3" s="35" t="inlineStr">
        <is>
          <t>Schedule cleaning</t>
        </is>
      </c>
      <c r="H3" s="35" t="inlineStr">
        <is>
          <t>[clinic phone]</t>
        </is>
      </c>
      <c r="I3" s="35" t="n"/>
    </row>
    <row r="4" ht="36" customHeight="1" s="28">
      <c r="A4" s="35" t="inlineStr">
        <is>
          <t>[Partner]</t>
        </is>
      </c>
      <c r="B4" s="35" t="inlineStr">
        <is>
          <t>Dr. Levi — Maccabi</t>
        </is>
      </c>
      <c r="C4" s="35" t="inlineStr">
        <is>
          <t>Family doctor</t>
        </is>
      </c>
      <c r="D4" s="36" t="n">
        <v>45966</v>
      </c>
      <c r="E4" s="36" t="n">
        <v>46331</v>
      </c>
      <c r="F4" s="35" t="inlineStr">
        <is>
          <t>Yearly</t>
        </is>
      </c>
      <c r="G4" s="35" t="n"/>
      <c r="H4" s="35" t="inlineStr">
        <is>
          <t>[clinic phone]</t>
        </is>
      </c>
      <c r="I4" s="35" t="n"/>
    </row>
    <row r="5" ht="36" customHeight="1" s="28">
      <c r="A5" s="35" t="inlineStr">
        <is>
          <t>[Child 1]</t>
        </is>
      </c>
      <c r="B5" s="35" t="inlineStr">
        <is>
          <t>Dr. Cohen — Clalit</t>
        </is>
      </c>
      <c r="C5" s="35" t="inlineStr">
        <is>
          <t>Pediatrician</t>
        </is>
      </c>
      <c r="D5" s="36" t="n">
        <v>46101</v>
      </c>
      <c r="E5" s="36" t="n">
        <v>46285</v>
      </c>
      <c r="F5" s="35" t="inlineStr">
        <is>
          <t>6-month</t>
        </is>
      </c>
      <c r="G5" s="35" t="inlineStr">
        <is>
          <t>Routine check</t>
        </is>
      </c>
      <c r="H5" s="35" t="inlineStr">
        <is>
          <t>[clinic phone]</t>
        </is>
      </c>
      <c r="I5" s="35" t="n"/>
    </row>
    <row r="6" ht="36" customHeight="1" s="28">
      <c r="A6" s="35" t="inlineStr">
        <is>
          <t>[Child 1]</t>
        </is>
      </c>
      <c r="B6" s="35" t="inlineStr">
        <is>
          <t>Tipat Halav</t>
        </is>
      </c>
      <c r="C6" s="35" t="inlineStr">
        <is>
          <t>Vaccines</t>
        </is>
      </c>
      <c r="D6" s="36" t="n">
        <v>46113</v>
      </c>
      <c r="E6" s="36" t="n">
        <v>46296</v>
      </c>
      <c r="F6" s="35" t="inlineStr">
        <is>
          <t>Per schedule</t>
        </is>
      </c>
      <c r="G6" s="35" t="inlineStr">
        <is>
          <t>MMR booster</t>
        </is>
      </c>
      <c r="H6" s="35" t="inlineStr">
        <is>
          <t>[Tipat Halav phone]</t>
        </is>
      </c>
      <c r="I6" s="35" t="n"/>
    </row>
    <row r="7" ht="36" customHeight="1" s="28">
      <c r="A7" s="35" t="inlineStr">
        <is>
          <t>[Child 2]</t>
        </is>
      </c>
      <c r="B7" s="35" t="inlineStr">
        <is>
          <t>Tipat Halav</t>
        </is>
      </c>
      <c r="C7" s="35" t="inlineStr">
        <is>
          <t>Vaccines</t>
        </is>
      </c>
      <c r="D7" s="36" t="n">
        <v>46063</v>
      </c>
      <c r="E7" s="36" t="n">
        <v>46244</v>
      </c>
      <c r="F7" s="35" t="inlineStr">
        <is>
          <t>Per schedule</t>
        </is>
      </c>
      <c r="G7" s="35" t="inlineStr">
        <is>
          <t>12-month vaccines</t>
        </is>
      </c>
      <c r="H7" s="35" t="inlineStr">
        <is>
          <t>[Tipat Halav phone]</t>
        </is>
      </c>
      <c r="I7" s="35" t="n"/>
    </row>
    <row r="8" ht="15" customHeight="1" s="2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</row>
    <row r="21" ht="15" customHeight="1" s="28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</row>
    <row r="22" ht="15" customHeight="1" s="28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1"/>
    <col width="14" customWidth="1" style="27" min="2" max="2"/>
    <col width="10" customWidth="1" style="27" min="3" max="3"/>
    <col width="16" customWidth="1" style="27" min="4" max="6"/>
    <col width="14" customWidth="1" style="27" min="7" max="7"/>
    <col width="22" customWidth="1" style="27" min="8" max="8"/>
    <col width="24" customWidth="1" style="27" min="9" max="9"/>
  </cols>
  <sheetData>
    <row r="1" ht="27.75" customHeight="1" s="28">
      <c r="A1" s="34" t="inlineStr">
        <is>
          <t>Vehicle</t>
        </is>
      </c>
      <c r="B1" s="34" t="inlineStr">
        <is>
          <t>Plate</t>
        </is>
      </c>
      <c r="C1" s="34" t="inlineStr">
        <is>
          <t>Owner</t>
        </is>
      </c>
      <c r="D1" s="34" t="inlineStr">
        <is>
          <t>Annual Test (Rishui)</t>
        </is>
      </c>
      <c r="E1" s="34" t="inlineStr">
        <is>
          <t>Insurance Renewal</t>
        </is>
      </c>
      <c r="F1" s="34" t="inlineStr">
        <is>
          <t>Insurance Provider</t>
        </is>
      </c>
      <c r="G1" s="34" t="inlineStr">
        <is>
          <t>License Expiry</t>
        </is>
      </c>
      <c r="H1" s="34" t="inlineStr">
        <is>
          <t>Mechanic</t>
        </is>
      </c>
      <c r="I1" s="34" t="inlineStr">
        <is>
          <t>Notes</t>
        </is>
      </c>
    </row>
    <row r="2" ht="36" customHeight="1" s="28">
      <c r="A2" s="35" t="inlineStr">
        <is>
          <t>[Make/Model — Year]</t>
        </is>
      </c>
      <c r="B2" s="35" t="inlineStr">
        <is>
          <t>[XX-XXX-XX]</t>
        </is>
      </c>
      <c r="C2" s="35" t="inlineStr">
        <is>
          <t>Adar</t>
        </is>
      </c>
      <c r="D2" s="36" t="n">
        <v>46310</v>
      </c>
      <c r="E2" s="36" t="n">
        <v>46327</v>
      </c>
      <c r="F2" s="35" t="inlineStr">
        <is>
          <t>Harel</t>
        </is>
      </c>
      <c r="G2" s="36" t="n">
        <v>47557</v>
      </c>
      <c r="H2" s="35" t="inlineStr">
        <is>
          <t>[Mechanic shop]</t>
        </is>
      </c>
      <c r="I2" s="35" t="inlineStr">
        <is>
          <t>Last service date in notes</t>
        </is>
      </c>
    </row>
    <row r="3" ht="15" customHeight="1" s="28">
      <c r="A3" s="37" t="n"/>
      <c r="B3" s="37" t="n"/>
      <c r="C3" s="37" t="n"/>
      <c r="D3" s="37" t="n"/>
      <c r="E3" s="37" t="n"/>
      <c r="F3" s="37" t="n"/>
      <c r="G3" s="37" t="n"/>
      <c r="H3" s="37" t="n"/>
      <c r="I3" s="37" t="n"/>
    </row>
    <row r="4" ht="15" customHeight="1" s="28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</row>
    <row r="5" ht="15" customHeight="1" s="28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</row>
    <row r="6" ht="15" customHeight="1" s="28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</row>
    <row r="7" ht="15" customHeight="1" s="28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</row>
  </sheetData>
  <conditionalFormatting sqref="D2:D1000">
    <cfRule type="expression" rank="0" priority="2" equalAverage="0" aboveAverage="0" dxfId="4" text="" percent="0" bottom="0">
      <formula>AND(ISNUMBER(D2),D2&lt;TODAY())</formula>
    </cfRule>
    <cfRule type="expression" rank="0" priority="3" equalAverage="0" aboveAverage="0" dxfId="0" text="" percent="0" bottom="0">
      <formula>AND(ISNUMBER(D2),D2-TODAY()&gt;=0,D2-TODAY()&lt;=30)</formula>
    </cfRule>
  </conditionalFormatting>
  <conditionalFormatting sqref="E2:E1000">
    <cfRule type="expression" rank="0" priority="4" equalAverage="0" aboveAverage="0" dxfId="4" text="" percent="0" bottom="0">
      <formula>AND(ISNUMBER(E2),E2&lt;TODAY())</formula>
    </cfRule>
    <cfRule type="expression" rank="0" priority="5" equalAverage="0" aboveAverage="0" dxfId="0" text="" percent="0" bottom="0">
      <formula>AND(ISNUMBER(E2),E2-TODAY()&gt;=0,E2-TODAY()&lt;=30)</formula>
    </cfRule>
  </conditionalFormatting>
  <conditionalFormatting sqref="G2:G1000">
    <cfRule type="expression" rank="0" priority="6" equalAverage="0" aboveAverage="0" dxfId="4" text="" percent="0" bottom="0">
      <formula>AND(ISNUMBER(G2),G2&lt;TODAY())</formula>
    </cfRule>
    <cfRule type="expression" rank="0" priority="7" equalAverage="0" aboveAverage="0" dxfId="0" text="" percent="0" bottom="0">
      <formula>AND(ISNUMBER(G2),G2-TODAY()&gt;=0,G2-TODAY()&lt;=30)</formula>
    </cfRule>
  </conditionalFormatting>
  <dataValidations count="1">
    <dataValidation sqref="C2:C1000" showDropDown="0" showInputMessage="0" showErrorMessage="0" allowBlank="1" errorTitle="Invalid Owner" error="Pick from: Adar, Partner, Both, Child 1, Child 2, System…" type="list" errorStyle="stop" operator="between">
      <formula1>Lists!$B$3:$B$8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2"/>
    <col width="16" customWidth="1" style="27" min="3" max="3"/>
    <col width="22" customWidth="1" style="27" min="4" max="4"/>
    <col width="14" customWidth="1" style="27" min="5" max="5"/>
    <col width="28" customWidth="1" style="27" min="6" max="6"/>
  </cols>
  <sheetData>
    <row r="1" ht="27.75" customHeight="1" s="28">
      <c r="A1" s="34" t="inlineStr">
        <is>
          <t>Name</t>
        </is>
      </c>
      <c r="B1" s="34" t="inlineStr">
        <is>
          <t>Role</t>
        </is>
      </c>
      <c r="C1" s="34" t="inlineStr">
        <is>
          <t>Phone</t>
        </is>
      </c>
      <c r="D1" s="34" t="inlineStr">
        <is>
          <t>Email</t>
        </is>
      </c>
      <c r="E1" s="34" t="inlineStr">
        <is>
          <t>Linked Domain</t>
        </is>
      </c>
      <c r="F1" s="34" t="inlineStr">
        <is>
          <t>Notes</t>
        </is>
      </c>
    </row>
    <row r="2" ht="36" customHeight="1" s="28">
      <c r="A2" s="35" t="inlineStr">
        <is>
          <t>Dr. Cohen</t>
        </is>
      </c>
      <c r="B2" s="35" t="inlineStr">
        <is>
          <t>Family doctor — Clalit</t>
        </is>
      </c>
      <c r="C2" s="35" t="inlineStr">
        <is>
          <t>[phone]</t>
        </is>
      </c>
      <c r="D2" s="35" t="inlineStr">
        <is>
          <t>[email]</t>
        </is>
      </c>
      <c r="E2" s="35" t="inlineStr">
        <is>
          <t>Health</t>
        </is>
      </c>
      <c r="F2" s="35" t="inlineStr">
        <is>
          <t>First call for Adar + kids</t>
        </is>
      </c>
    </row>
    <row r="3" ht="36" customHeight="1" s="28">
      <c r="A3" s="35" t="inlineStr">
        <is>
          <t>[Mechanic name]</t>
        </is>
      </c>
      <c r="B3" s="35" t="inlineStr">
        <is>
          <t>Auto mechanic</t>
        </is>
      </c>
      <c r="C3" s="35" t="inlineStr">
        <is>
          <t>[phone]</t>
        </is>
      </c>
      <c r="D3" s="35" t="n"/>
      <c r="E3" s="35" t="inlineStr">
        <is>
          <t>Car</t>
        </is>
      </c>
      <c r="F3" s="35" t="n"/>
    </row>
    <row r="4" ht="36" customHeight="1" s="28">
      <c r="A4" s="35" t="inlineStr">
        <is>
          <t>[Teacher name]</t>
        </is>
      </c>
      <c r="B4" s="35" t="inlineStr">
        <is>
          <t>Preschool teacher</t>
        </is>
      </c>
      <c r="C4" s="35" t="inlineStr">
        <is>
          <t>[phone]</t>
        </is>
      </c>
      <c r="D4" s="35" t="inlineStr">
        <is>
          <t>[email]</t>
        </is>
      </c>
      <c r="E4" s="35" t="inlineStr">
        <is>
          <t>Education</t>
        </is>
      </c>
      <c r="F4" s="35" t="inlineStr">
        <is>
          <t>Child 1 preschool</t>
        </is>
      </c>
    </row>
    <row r="5" ht="36" customHeight="1" s="28">
      <c r="A5" s="35" t="inlineStr">
        <is>
          <t>[Insurance agent]</t>
        </is>
      </c>
      <c r="B5" s="35" t="inlineStr">
        <is>
          <t>Home + car insurance</t>
        </is>
      </c>
      <c r="C5" s="35" t="inlineStr">
        <is>
          <t>[phone]</t>
        </is>
      </c>
      <c r="D5" s="35" t="inlineStr">
        <is>
          <t>[email]</t>
        </is>
      </c>
      <c r="E5" s="35" t="inlineStr">
        <is>
          <t>Contracts</t>
        </is>
      </c>
      <c r="F5" s="35" t="inlineStr">
        <is>
          <t>Harel agent</t>
        </is>
      </c>
    </row>
    <row r="6" ht="36" customHeight="1" s="28">
      <c r="A6" s="35" t="inlineStr">
        <is>
          <t>[Accountant name]</t>
        </is>
      </c>
      <c r="B6" s="35" t="inlineStr">
        <is>
          <t>Family accountant</t>
        </is>
      </c>
      <c r="C6" s="35" t="inlineStr">
        <is>
          <t>[phone]</t>
        </is>
      </c>
      <c r="D6" s="35" t="inlineStr">
        <is>
          <t>[email]</t>
        </is>
      </c>
      <c r="E6" s="35" t="inlineStr">
        <is>
          <t>Finance</t>
        </is>
      </c>
      <c r="F6" s="35" t="n"/>
    </row>
    <row r="7" ht="15" customHeight="1" s="28">
      <c r="A7" s="37" t="n"/>
      <c r="B7" s="37" t="n"/>
      <c r="C7" s="37" t="n"/>
      <c r="D7" s="37" t="n"/>
      <c r="E7" s="37" t="n"/>
      <c r="F7" s="37" t="n"/>
    </row>
    <row r="8" ht="15" customHeight="1" s="28">
      <c r="A8" s="37" t="n"/>
      <c r="B8" s="37" t="n"/>
      <c r="C8" s="37" t="n"/>
      <c r="D8" s="37" t="n"/>
      <c r="E8" s="37" t="n"/>
      <c r="F8" s="37" t="n"/>
    </row>
    <row r="9" ht="15" customHeight="1" s="28">
      <c r="A9" s="37" t="n"/>
      <c r="B9" s="37" t="n"/>
      <c r="C9" s="37" t="n"/>
      <c r="D9" s="37" t="n"/>
      <c r="E9" s="37" t="n"/>
      <c r="F9" s="37" t="n"/>
    </row>
    <row r="10" ht="15" customHeight="1" s="28">
      <c r="A10" s="37" t="n"/>
      <c r="B10" s="37" t="n"/>
      <c r="C10" s="37" t="n"/>
      <c r="D10" s="37" t="n"/>
      <c r="E10" s="37" t="n"/>
      <c r="F10" s="37" t="n"/>
    </row>
    <row r="11" ht="15" customHeight="1" s="28">
      <c r="A11" s="37" t="n"/>
      <c r="B11" s="37" t="n"/>
      <c r="C11" s="37" t="n"/>
      <c r="D11" s="37" t="n"/>
      <c r="E11" s="37" t="n"/>
      <c r="F11" s="37" t="n"/>
    </row>
    <row r="12" ht="15" customHeight="1" s="28">
      <c r="A12" s="37" t="n"/>
      <c r="B12" s="37" t="n"/>
      <c r="C12" s="37" t="n"/>
      <c r="D12" s="37" t="n"/>
      <c r="E12" s="37" t="n"/>
      <c r="F12" s="37" t="n"/>
    </row>
    <row r="13" ht="15" customHeight="1" s="28">
      <c r="A13" s="37" t="n"/>
      <c r="B13" s="37" t="n"/>
      <c r="C13" s="37" t="n"/>
      <c r="D13" s="37" t="n"/>
      <c r="E13" s="37" t="n"/>
      <c r="F13" s="37" t="n"/>
    </row>
    <row r="14" ht="15" customHeight="1" s="28">
      <c r="A14" s="37" t="n"/>
      <c r="B14" s="37" t="n"/>
      <c r="C14" s="37" t="n"/>
      <c r="D14" s="37" t="n"/>
      <c r="E14" s="37" t="n"/>
      <c r="F14" s="37" t="n"/>
    </row>
    <row r="15" ht="15" customHeight="1" s="28">
      <c r="A15" s="37" t="n"/>
      <c r="B15" s="37" t="n"/>
      <c r="C15" s="37" t="n"/>
      <c r="D15" s="37" t="n"/>
      <c r="E15" s="37" t="n"/>
      <c r="F15" s="37" t="n"/>
    </row>
    <row r="16" ht="15" customHeight="1" s="28">
      <c r="A16" s="37" t="n"/>
      <c r="B16" s="37" t="n"/>
      <c r="C16" s="37" t="n"/>
      <c r="D16" s="37" t="n"/>
      <c r="E16" s="37" t="n"/>
      <c r="F16" s="37" t="n"/>
    </row>
    <row r="17" ht="15" customHeight="1" s="28">
      <c r="A17" s="37" t="n"/>
      <c r="B17" s="37" t="n"/>
      <c r="C17" s="37" t="n"/>
      <c r="D17" s="37" t="n"/>
      <c r="E17" s="37" t="n"/>
      <c r="F17" s="37" t="n"/>
    </row>
    <row r="18" ht="15" customHeight="1" s="28">
      <c r="A18" s="37" t="n"/>
      <c r="B18" s="37" t="n"/>
      <c r="C18" s="37" t="n"/>
      <c r="D18" s="37" t="n"/>
      <c r="E18" s="37" t="n"/>
      <c r="F18" s="37" t="n"/>
    </row>
    <row r="19" ht="15" customHeight="1" s="28">
      <c r="A19" s="37" t="n"/>
      <c r="B19" s="37" t="n"/>
      <c r="C19" s="37" t="n"/>
      <c r="D19" s="37" t="n"/>
      <c r="E19" s="37" t="n"/>
      <c r="F19" s="37" t="n"/>
    </row>
    <row r="20" ht="15" customHeight="1" s="28">
      <c r="A20" s="37" t="n"/>
      <c r="B20" s="37" t="n"/>
      <c r="C20" s="37" t="n"/>
      <c r="D20" s="37" t="n"/>
      <c r="E20" s="37" t="n"/>
      <c r="F20" s="37" t="n"/>
    </row>
    <row r="21" ht="15" customHeight="1" s="28">
      <c r="A21" s="37" t="n"/>
      <c r="B21" s="37" t="n"/>
      <c r="C21" s="37" t="n"/>
      <c r="D21" s="37" t="n"/>
      <c r="E21" s="37" t="n"/>
      <c r="F21" s="37" t="n"/>
    </row>
    <row r="22" ht="15" customHeight="1" s="28">
      <c r="A22" s="37" t="n"/>
      <c r="B22" s="37" t="n"/>
      <c r="C22" s="37" t="n"/>
      <c r="D22" s="37" t="n"/>
      <c r="E22" s="37" t="n"/>
      <c r="F22" s="37" t="n"/>
    </row>
    <row r="23" ht="15" customHeight="1" s="28">
      <c r="A23" s="37" t="n"/>
      <c r="B23" s="37" t="n"/>
      <c r="C23" s="37" t="n"/>
      <c r="D23" s="37" t="n"/>
      <c r="E23" s="37" t="n"/>
      <c r="F23" s="37" t="n"/>
    </row>
    <row r="24" ht="15" customHeight="1" s="28">
      <c r="A24" s="37" t="n"/>
      <c r="B24" s="37" t="n"/>
      <c r="C24" s="37" t="n"/>
      <c r="D24" s="37" t="n"/>
      <c r="E24" s="37" t="n"/>
      <c r="F24" s="37" t="n"/>
    </row>
    <row r="25" ht="15" customHeight="1" s="28">
      <c r="A25" s="37" t="n"/>
      <c r="B25" s="37" t="n"/>
      <c r="C25" s="37" t="n"/>
      <c r="D25" s="37" t="n"/>
      <c r="E25" s="37" t="n"/>
      <c r="F25" s="37" t="n"/>
    </row>
    <row r="26" ht="15" customHeight="1" s="28">
      <c r="A26" s="37" t="n"/>
      <c r="B26" s="37" t="n"/>
      <c r="C26" s="37" t="n"/>
      <c r="D26" s="37" t="n"/>
      <c r="E26" s="37" t="n"/>
      <c r="F26" s="37" t="n"/>
    </row>
  </sheetData>
  <dataValidations count="1">
    <dataValidation sqref="E2:E1000" showDropDown="0" showInputMessage="0" showErrorMessage="0" allowBlank="1" errorTitle="Invalid Domain" error="Pick from: Calendar, Finance, Goals, Education, Health, Car…" type="list" errorStyle="stop" operator="between">
      <formula1>Lists!$A$3:$A$12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27" min="1" max="1"/>
    <col width="18" customWidth="1" style="27" min="2" max="2"/>
    <col width="14" customWidth="1" style="27" min="3" max="3"/>
    <col width="12" customWidth="1" style="27" min="4" max="4"/>
    <col width="14" customWidth="1" style="27" min="5" max="7"/>
    <col width="12" customWidth="1" style="27" min="8" max="8"/>
    <col width="28" customWidth="1" style="27" min="9" max="9"/>
  </cols>
  <sheetData>
    <row r="1" ht="27.75" customHeight="1" s="28">
      <c r="A1" s="34" t="inlineStr">
        <is>
          <t>Contract</t>
        </is>
      </c>
      <c r="B1" s="34" t="inlineStr">
        <is>
          <t>Provider</t>
        </is>
      </c>
      <c r="C1" s="34" t="inlineStr">
        <is>
          <t>Type</t>
        </is>
      </c>
      <c r="D1" s="34" t="inlineStr">
        <is>
          <t>Start Date</t>
        </is>
      </c>
      <c r="E1" s="34" t="inlineStr">
        <is>
          <t>Renewal Date</t>
        </is>
      </c>
      <c r="F1" s="34" t="inlineStr">
        <is>
          <t>Monthly Cost (ILS)</t>
        </is>
      </c>
      <c r="G1" s="34" t="inlineStr">
        <is>
          <t>Annual Cost (ILS)</t>
        </is>
      </c>
      <c r="H1" s="34" t="inlineStr">
        <is>
          <t>Auto-Renew</t>
        </is>
      </c>
      <c r="I1" s="34" t="inlineStr">
        <is>
          <t>Notes</t>
        </is>
      </c>
    </row>
    <row r="2" ht="36" customHeight="1" s="28">
      <c r="A2" s="35" t="inlineStr">
        <is>
          <t>[Mortgage]</t>
        </is>
      </c>
      <c r="B2" s="35" t="inlineStr">
        <is>
          <t>Bank Hapoalim</t>
        </is>
      </c>
      <c r="C2" s="35" t="inlineStr">
        <is>
          <t>Mortgage</t>
        </is>
      </c>
      <c r="D2" s="36" t="n">
        <v>45444</v>
      </c>
      <c r="E2" s="35" t="inlineStr">
        <is>
          <t>—</t>
        </is>
      </c>
      <c r="F2" s="42" t="n">
        <v>6800</v>
      </c>
      <c r="G2" s="42" t="n">
        <v>81600</v>
      </c>
      <c r="H2" s="35" t="inlineStr">
        <is>
          <t>Yes</t>
        </is>
      </c>
      <c r="I2" s="35" t="inlineStr">
        <is>
          <t>30-year fixed</t>
        </is>
      </c>
    </row>
    <row r="3" ht="36" customHeight="1" s="28">
      <c r="A3" s="35" t="inlineStr">
        <is>
          <t>[Home insurance]</t>
        </is>
      </c>
      <c r="B3" s="35" t="inlineStr">
        <is>
          <t>Harel</t>
        </is>
      </c>
      <c r="C3" s="35" t="inlineStr">
        <is>
          <t>Insurance</t>
        </is>
      </c>
      <c r="D3" s="36" t="n">
        <v>45901</v>
      </c>
      <c r="E3" s="36" t="n">
        <v>46266</v>
      </c>
      <c r="F3" s="42" t="n">
        <v>320</v>
      </c>
      <c r="G3" s="42" t="n">
        <v>3840</v>
      </c>
      <c r="H3" s="35" t="inlineStr">
        <is>
          <t>Yes</t>
        </is>
      </c>
      <c r="I3" s="35" t="n"/>
    </row>
    <row r="4" ht="36" customHeight="1" s="28">
      <c r="A4" s="35" t="inlineStr">
        <is>
          <t>[Car insurance]</t>
        </is>
      </c>
      <c r="B4" s="35" t="inlineStr">
        <is>
          <t>Harel</t>
        </is>
      </c>
      <c r="C4" s="35" t="inlineStr">
        <is>
          <t>Insurance</t>
        </is>
      </c>
      <c r="D4" s="36" t="n">
        <v>45962</v>
      </c>
      <c r="E4" s="36" t="n">
        <v>46327</v>
      </c>
      <c r="F4" s="42" t="n">
        <v>580</v>
      </c>
      <c r="G4" s="42" t="n">
        <v>6960</v>
      </c>
      <c r="H4" s="35" t="inlineStr">
        <is>
          <t>No</t>
        </is>
      </c>
      <c r="I4" s="35" t="inlineStr">
        <is>
          <t>Shop around each year</t>
        </is>
      </c>
    </row>
    <row r="5" ht="36" customHeight="1" s="28">
      <c r="A5" s="35" t="inlineStr">
        <is>
          <t>[Electricity]</t>
        </is>
      </c>
      <c r="B5" s="35" t="inlineStr">
        <is>
          <t>IEC</t>
        </is>
      </c>
      <c r="C5" s="35" t="inlineStr">
        <is>
          <t>Utility</t>
        </is>
      </c>
      <c r="D5" s="35" t="inlineStr">
        <is>
          <t>—</t>
        </is>
      </c>
      <c r="E5" s="35" t="inlineStr">
        <is>
          <t>—</t>
        </is>
      </c>
      <c r="F5" s="42" t="n">
        <v>550</v>
      </c>
      <c r="G5" s="42" t="n">
        <v>6600</v>
      </c>
      <c r="H5" s="35" t="inlineStr">
        <is>
          <t>Yes</t>
        </is>
      </c>
      <c r="I5" s="35" t="inlineStr">
        <is>
          <t>Estimated avg</t>
        </is>
      </c>
    </row>
    <row r="6" ht="36" customHeight="1" s="28">
      <c r="A6" s="35" t="inlineStr">
        <is>
          <t>[Internet]</t>
        </is>
      </c>
      <c r="B6" s="35" t="inlineStr">
        <is>
          <t>Bezeq</t>
        </is>
      </c>
      <c r="C6" s="35" t="inlineStr">
        <is>
          <t>Utility</t>
        </is>
      </c>
      <c r="D6" s="36" t="n">
        <v>45658</v>
      </c>
      <c r="E6" s="36" t="n">
        <v>46388</v>
      </c>
      <c r="F6" s="42" t="n">
        <v>99</v>
      </c>
      <c r="G6" s="42" t="n">
        <v>1188</v>
      </c>
      <c r="H6" s="35" t="inlineStr">
        <is>
          <t>Yes</t>
        </is>
      </c>
      <c r="I6" s="35" t="n"/>
    </row>
    <row r="7" ht="36" customHeight="1" s="28">
      <c r="A7" s="35" t="inlineStr">
        <is>
          <t>[Mobile — Adar]</t>
        </is>
      </c>
      <c r="B7" s="35" t="inlineStr">
        <is>
          <t>Pelephone</t>
        </is>
      </c>
      <c r="C7" s="35" t="inlineStr">
        <is>
          <t>Utility</t>
        </is>
      </c>
      <c r="D7" s="35" t="inlineStr">
        <is>
          <t>—</t>
        </is>
      </c>
      <c r="E7" s="35" t="inlineStr">
        <is>
          <t>—</t>
        </is>
      </c>
      <c r="F7" s="42" t="n">
        <v>49</v>
      </c>
      <c r="G7" s="42" t="n">
        <v>588</v>
      </c>
      <c r="H7" s="35" t="inlineStr">
        <is>
          <t>Yes</t>
        </is>
      </c>
      <c r="I7" s="35" t="n"/>
    </row>
    <row r="8" ht="15" customHeight="1" s="28">
      <c r="A8" s="37" t="n"/>
      <c r="B8" s="37" t="n"/>
      <c r="C8" s="37" t="n"/>
      <c r="D8" s="37" t="n"/>
      <c r="E8" s="37" t="n"/>
      <c r="F8" s="43" t="n"/>
      <c r="G8" s="43" t="n"/>
      <c r="H8" s="37" t="n"/>
      <c r="I8" s="37" t="n"/>
    </row>
    <row r="9" ht="15" customHeight="1" s="28">
      <c r="A9" s="37" t="n"/>
      <c r="B9" s="37" t="n"/>
      <c r="C9" s="37" t="n"/>
      <c r="D9" s="37" t="n"/>
      <c r="E9" s="37" t="n"/>
      <c r="F9" s="43" t="n"/>
      <c r="G9" s="43" t="n"/>
      <c r="H9" s="37" t="n"/>
      <c r="I9" s="37" t="n"/>
    </row>
    <row r="10" ht="15" customHeight="1" s="28">
      <c r="A10" s="37" t="n"/>
      <c r="B10" s="37" t="n"/>
      <c r="C10" s="37" t="n"/>
      <c r="D10" s="37" t="n"/>
      <c r="E10" s="37" t="n"/>
      <c r="F10" s="43" t="n"/>
      <c r="G10" s="43" t="n"/>
      <c r="H10" s="37" t="n"/>
      <c r="I10" s="37" t="n"/>
    </row>
    <row r="11" ht="15" customHeight="1" s="28">
      <c r="A11" s="37" t="n"/>
      <c r="B11" s="37" t="n"/>
      <c r="C11" s="37" t="n"/>
      <c r="D11" s="37" t="n"/>
      <c r="E11" s="37" t="n"/>
      <c r="F11" s="43" t="n"/>
      <c r="G11" s="43" t="n"/>
      <c r="H11" s="37" t="n"/>
      <c r="I11" s="37" t="n"/>
    </row>
    <row r="12" ht="15" customHeight="1" s="28">
      <c r="A12" s="37" t="n"/>
      <c r="B12" s="37" t="n"/>
      <c r="C12" s="37" t="n"/>
      <c r="D12" s="37" t="n"/>
      <c r="E12" s="37" t="n"/>
      <c r="F12" s="43" t="n"/>
      <c r="G12" s="43" t="n"/>
      <c r="H12" s="37" t="n"/>
      <c r="I12" s="37" t="n"/>
    </row>
    <row r="13" ht="15" customHeight="1" s="28">
      <c r="A13" s="37" t="n"/>
      <c r="B13" s="37" t="n"/>
      <c r="C13" s="37" t="n"/>
      <c r="D13" s="37" t="n"/>
      <c r="E13" s="37" t="n"/>
      <c r="F13" s="43" t="n"/>
      <c r="G13" s="43" t="n"/>
      <c r="H13" s="37" t="n"/>
      <c r="I13" s="37" t="n"/>
    </row>
    <row r="14" ht="15" customHeight="1" s="28">
      <c r="A14" s="37" t="n"/>
      <c r="B14" s="37" t="n"/>
      <c r="C14" s="37" t="n"/>
      <c r="D14" s="37" t="n"/>
      <c r="E14" s="37" t="n"/>
      <c r="F14" s="43" t="n"/>
      <c r="G14" s="43" t="n"/>
      <c r="H14" s="37" t="n"/>
      <c r="I14" s="37" t="n"/>
    </row>
    <row r="15" ht="15" customHeight="1" s="28">
      <c r="A15" s="37" t="n"/>
      <c r="B15" s="37" t="n"/>
      <c r="C15" s="37" t="n"/>
      <c r="D15" s="37" t="n"/>
      <c r="E15" s="37" t="n"/>
      <c r="F15" s="43" t="n"/>
      <c r="G15" s="43" t="n"/>
      <c r="H15" s="37" t="n"/>
      <c r="I15" s="37" t="n"/>
    </row>
    <row r="16" ht="15" customHeight="1" s="28">
      <c r="A16" s="37" t="n"/>
      <c r="B16" s="37" t="n"/>
      <c r="C16" s="37" t="n"/>
      <c r="D16" s="37" t="n"/>
      <c r="E16" s="37" t="n"/>
      <c r="F16" s="43" t="n"/>
      <c r="G16" s="43" t="n"/>
      <c r="H16" s="37" t="n"/>
      <c r="I16" s="37" t="n"/>
    </row>
    <row r="17" ht="15" customHeight="1" s="28">
      <c r="A17" s="37" t="n"/>
      <c r="B17" s="37" t="n"/>
      <c r="C17" s="37" t="n"/>
      <c r="D17" s="37" t="n"/>
      <c r="E17" s="37" t="n"/>
      <c r="F17" s="43" t="n"/>
      <c r="G17" s="43" t="n"/>
      <c r="H17" s="37" t="n"/>
      <c r="I17" s="37" t="n"/>
    </row>
    <row r="18" ht="15" customHeight="1" s="28">
      <c r="A18" s="37" t="n"/>
      <c r="B18" s="37" t="n"/>
      <c r="C18" s="37" t="n"/>
      <c r="D18" s="37" t="n"/>
      <c r="E18" s="37" t="n"/>
      <c r="F18" s="43" t="n"/>
      <c r="G18" s="43" t="n"/>
      <c r="H18" s="37" t="n"/>
      <c r="I18" s="37" t="n"/>
    </row>
    <row r="19" ht="15" customHeight="1" s="28">
      <c r="A19" s="37" t="n"/>
      <c r="B19" s="37" t="n"/>
      <c r="C19" s="37" t="n"/>
      <c r="D19" s="37" t="n"/>
      <c r="E19" s="37" t="n"/>
      <c r="F19" s="43" t="n"/>
      <c r="G19" s="43" t="n"/>
      <c r="H19" s="37" t="n"/>
      <c r="I19" s="37" t="n"/>
    </row>
    <row r="20" ht="15" customHeight="1" s="28">
      <c r="A20" s="37" t="n"/>
      <c r="B20" s="37" t="n"/>
      <c r="C20" s="37" t="n"/>
      <c r="D20" s="37" t="n"/>
      <c r="E20" s="37" t="n"/>
      <c r="F20" s="43" t="n"/>
      <c r="G20" s="43" t="n"/>
      <c r="H20" s="37" t="n"/>
      <c r="I20" s="37" t="n"/>
    </row>
    <row r="21" ht="15" customHeight="1" s="28">
      <c r="A21" s="37" t="n"/>
      <c r="B21" s="37" t="n"/>
      <c r="C21" s="37" t="n"/>
      <c r="D21" s="37" t="n"/>
      <c r="E21" s="37" t="n"/>
      <c r="F21" s="43" t="n"/>
      <c r="G21" s="43" t="n"/>
      <c r="H21" s="37" t="n"/>
      <c r="I21" s="37" t="n"/>
    </row>
    <row r="22" ht="15" customHeight="1" s="28">
      <c r="A22" s="37" t="n"/>
      <c r="B22" s="37" t="n"/>
      <c r="C22" s="37" t="n"/>
      <c r="D22" s="37" t="n"/>
      <c r="E22" s="37" t="n"/>
      <c r="F22" s="43" t="n"/>
      <c r="G22" s="43" t="n"/>
      <c r="H22" s="37" t="n"/>
      <c r="I22" s="37" t="n"/>
    </row>
  </sheetData>
  <conditionalFormatting sqref="E2:E1000">
    <cfRule type="expression" rank="0" priority="2" equalAverage="0" aboveAverage="0" dxfId="4" text="" percent="0" bottom="0">
      <formula>AND(ISNUMBER(E2),E2&lt;TODAY())</formula>
    </cfRule>
    <cfRule type="expression" rank="0" priority="3" equalAverage="0" aboveAverage="0" dxfId="0" text="" percent="0" bottom="0">
      <formula>AND(ISNUMBER(E2),E2-TODAY()&gt;=0,E2-TODAY()&lt;=30)</formula>
    </cfRule>
  </conditionalFormatting>
  <dataValidations count="2">
    <dataValidation sqref="C2:C1000" showDropDown="0" showInputMessage="0" showErrorMessage="0" allowBlank="1" errorTitle="Invalid ContractType" error="Pick from: Mortgage, Rent, Insurance, Utility, Subscription, Telecom…" type="list" errorStyle="stop" operator="between">
      <formula1>Lists!$L$3:$L$9</formula1>
      <formula2>0</formula2>
    </dataValidation>
    <dataValidation sqref="H2:H1000" showDropDown="0" showInputMessage="0" showErrorMessage="0" allowBlank="1" errorTitle="Invalid AutoRenew" error="Pick from: Yes, No, Unknown…" type="list" errorStyle="stop" operator="between">
      <formula1>Lists!$M$3:$M$5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7" min="1" max="15"/>
  </cols>
  <sheetData>
    <row r="1" ht="15" customHeight="1" s="28">
      <c r="A1" s="52" t="inlineStr">
        <is>
          <t>Controlled vocabularies — edit here, dropdowns update everywhere.</t>
        </is>
      </c>
    </row>
    <row r="2" ht="15" customHeight="1" s="28">
      <c r="A2" s="53" t="inlineStr">
        <is>
          <t>Domain</t>
        </is>
      </c>
      <c r="B2" s="53" t="inlineStr">
        <is>
          <t>Owner</t>
        </is>
      </c>
      <c r="C2" s="53" t="inlineStr">
        <is>
          <t>Status</t>
        </is>
      </c>
      <c r="D2" s="53" t="inlineStr">
        <is>
          <t>Channel</t>
        </is>
      </c>
      <c r="E2" s="53" t="inlineStr">
        <is>
          <t>Recurrence</t>
        </is>
      </c>
      <c r="F2" s="53" t="inlineStr">
        <is>
          <t>Currency</t>
        </is>
      </c>
      <c r="G2" s="53" t="inlineStr">
        <is>
          <t>AcctType</t>
        </is>
      </c>
      <c r="H2" s="53" t="inlineStr">
        <is>
          <t>SyncDir</t>
        </is>
      </c>
      <c r="I2" s="53" t="inlineStr">
        <is>
          <t>Horizon</t>
        </is>
      </c>
      <c r="J2" s="53" t="inlineStr">
        <is>
          <t>GoalStatus</t>
        </is>
      </c>
      <c r="K2" s="53" t="inlineStr">
        <is>
          <t>BudgetCat</t>
        </is>
      </c>
      <c r="L2" s="53" t="inlineStr">
        <is>
          <t>ContractType</t>
        </is>
      </c>
      <c r="M2" s="53" t="inlineStr">
        <is>
          <t>AutoRenew</t>
        </is>
      </c>
      <c r="N2" s="53" t="inlineStr">
        <is>
          <t>BloodType</t>
        </is>
      </c>
      <c r="O2" s="53" t="inlineStr">
        <is>
          <t>Kupat</t>
        </is>
      </c>
    </row>
    <row r="3" ht="15" customHeight="1" s="28">
      <c r="A3" s="27" t="inlineStr">
        <is>
          <t>Calendar</t>
        </is>
      </c>
      <c r="B3" s="27" t="inlineStr">
        <is>
          <t>Adar</t>
        </is>
      </c>
      <c r="C3" s="27" t="inlineStr">
        <is>
          <t>Pending</t>
        </is>
      </c>
      <c r="D3" s="27" t="inlineStr">
        <is>
          <t>WhatsApp</t>
        </is>
      </c>
      <c r="E3" s="27" t="inlineStr">
        <is>
          <t>One-off</t>
        </is>
      </c>
      <c r="F3" s="27" t="inlineStr">
        <is>
          <t>ILS</t>
        </is>
      </c>
      <c r="G3" s="27" t="inlineStr">
        <is>
          <t>Checking</t>
        </is>
      </c>
      <c r="H3" s="27" t="inlineStr">
        <is>
          <t>Read</t>
        </is>
      </c>
      <c r="I3" s="27" t="inlineStr">
        <is>
          <t>3 months</t>
        </is>
      </c>
      <c r="J3" s="27" t="inlineStr">
        <is>
          <t>Not started</t>
        </is>
      </c>
      <c r="K3" s="27" t="inlineStr">
        <is>
          <t>Housing</t>
        </is>
      </c>
      <c r="L3" s="27" t="inlineStr">
        <is>
          <t>Mortgage</t>
        </is>
      </c>
      <c r="M3" s="27" t="inlineStr">
        <is>
          <t>Yes</t>
        </is>
      </c>
      <c r="N3" s="27" t="inlineStr">
        <is>
          <t>A+</t>
        </is>
      </c>
      <c r="O3" s="27" t="inlineStr">
        <is>
          <t>Clalit</t>
        </is>
      </c>
    </row>
    <row r="4" ht="15" customHeight="1" s="28">
      <c r="A4" s="27" t="inlineStr">
        <is>
          <t>Finance</t>
        </is>
      </c>
      <c r="B4" s="27" t="inlineStr">
        <is>
          <t>Partner</t>
        </is>
      </c>
      <c r="C4" s="27" t="inlineStr">
        <is>
          <t>Snoozed</t>
        </is>
      </c>
      <c r="D4" s="27" t="inlineStr">
        <is>
          <t>Email</t>
        </is>
      </c>
      <c r="E4" s="27" t="inlineStr">
        <is>
          <t>Daily</t>
        </is>
      </c>
      <c r="F4" s="27" t="inlineStr">
        <is>
          <t>USD</t>
        </is>
      </c>
      <c r="G4" s="27" t="inlineStr">
        <is>
          <t>Savings</t>
        </is>
      </c>
      <c r="H4" s="27" t="inlineStr">
        <is>
          <t>Write</t>
        </is>
      </c>
      <c r="I4" s="27" t="inlineStr">
        <is>
          <t>6 months</t>
        </is>
      </c>
      <c r="J4" s="27" t="inlineStr">
        <is>
          <t>On track</t>
        </is>
      </c>
      <c r="K4" s="27" t="inlineStr">
        <is>
          <t>Groceries</t>
        </is>
      </c>
      <c r="L4" s="27" t="inlineStr">
        <is>
          <t>Rent</t>
        </is>
      </c>
      <c r="M4" s="27" t="inlineStr">
        <is>
          <t>No</t>
        </is>
      </c>
      <c r="N4" s="27" t="inlineStr">
        <is>
          <t>A-</t>
        </is>
      </c>
      <c r="O4" s="27" t="inlineStr">
        <is>
          <t>Maccabi</t>
        </is>
      </c>
    </row>
    <row r="5" ht="15" customHeight="1" s="28">
      <c r="A5" s="27" t="inlineStr">
        <is>
          <t>Goals</t>
        </is>
      </c>
      <c r="B5" s="27" t="inlineStr">
        <is>
          <t>Both</t>
        </is>
      </c>
      <c r="C5" s="27" t="inlineStr">
        <is>
          <t>Sent</t>
        </is>
      </c>
      <c r="D5" s="27" t="inlineStr">
        <is>
          <t>None</t>
        </is>
      </c>
      <c r="E5" s="27" t="inlineStr">
        <is>
          <t>Weekly</t>
        </is>
      </c>
      <c r="F5" s="27" t="inlineStr">
        <is>
          <t>EUR</t>
        </is>
      </c>
      <c r="G5" s="27" t="inlineStr">
        <is>
          <t>Credit Card</t>
        </is>
      </c>
      <c r="H5" s="27" t="inlineStr">
        <is>
          <t>Read-Write</t>
        </is>
      </c>
      <c r="I5" s="27" t="inlineStr">
        <is>
          <t>1 year</t>
        </is>
      </c>
      <c r="J5" s="27" t="inlineStr">
        <is>
          <t>At risk</t>
        </is>
      </c>
      <c r="K5" s="27" t="inlineStr">
        <is>
          <t>Utilities</t>
        </is>
      </c>
      <c r="L5" s="27" t="inlineStr">
        <is>
          <t>Insurance</t>
        </is>
      </c>
      <c r="M5" s="27" t="inlineStr">
        <is>
          <t>Unknown</t>
        </is>
      </c>
      <c r="N5" s="27" t="inlineStr">
        <is>
          <t>B+</t>
        </is>
      </c>
      <c r="O5" s="27" t="inlineStr">
        <is>
          <t>Meuhedet</t>
        </is>
      </c>
    </row>
    <row r="6" ht="15" customHeight="1" s="28">
      <c r="A6" s="27" t="inlineStr">
        <is>
          <t>Education</t>
        </is>
      </c>
      <c r="B6" s="27" t="inlineStr">
        <is>
          <t>Child 1</t>
        </is>
      </c>
      <c r="C6" s="27" t="inlineStr">
        <is>
          <t>Done</t>
        </is>
      </c>
      <c r="E6" s="27" t="inlineStr">
        <is>
          <t>Monthly</t>
        </is>
      </c>
      <c r="F6" s="27" t="inlineStr">
        <is>
          <t>GBP</t>
        </is>
      </c>
      <c r="G6" s="27" t="inlineStr">
        <is>
          <t>Investment</t>
        </is>
      </c>
      <c r="H6" s="27" t="inlineStr">
        <is>
          <t>Disabled</t>
        </is>
      </c>
      <c r="I6" s="27" t="inlineStr">
        <is>
          <t>3 years</t>
        </is>
      </c>
      <c r="J6" s="27" t="inlineStr">
        <is>
          <t>Blocked</t>
        </is>
      </c>
      <c r="K6" s="27" t="inlineStr">
        <is>
          <t>Transport</t>
        </is>
      </c>
      <c r="L6" s="27" t="inlineStr">
        <is>
          <t>Utility</t>
        </is>
      </c>
      <c r="N6" s="27" t="inlineStr">
        <is>
          <t>B-</t>
        </is>
      </c>
      <c r="O6" s="27" t="inlineStr">
        <is>
          <t>Leumit</t>
        </is>
      </c>
    </row>
    <row r="7" ht="15" customHeight="1" s="28">
      <c r="A7" s="27" t="inlineStr">
        <is>
          <t>Health</t>
        </is>
      </c>
      <c r="B7" s="27" t="inlineStr">
        <is>
          <t>Child 2</t>
        </is>
      </c>
      <c r="C7" s="27" t="inlineStr">
        <is>
          <t>Skipped</t>
        </is>
      </c>
      <c r="E7" s="27" t="inlineStr">
        <is>
          <t>Quarterly</t>
        </is>
      </c>
      <c r="G7" s="27" t="inlineStr">
        <is>
          <t>Loan</t>
        </is>
      </c>
      <c r="I7" s="27" t="inlineStr">
        <is>
          <t>5 years</t>
        </is>
      </c>
      <c r="J7" s="27" t="inlineStr">
        <is>
          <t>Done</t>
        </is>
      </c>
      <c r="K7" s="27" t="inlineStr">
        <is>
          <t>Childcare</t>
        </is>
      </c>
      <c r="L7" s="27" t="inlineStr">
        <is>
          <t>Subscription</t>
        </is>
      </c>
      <c r="N7" s="27" t="inlineStr">
        <is>
          <t>O+</t>
        </is>
      </c>
      <c r="O7" s="27" t="inlineStr">
        <is>
          <t>Other</t>
        </is>
      </c>
    </row>
    <row r="8" ht="15" customHeight="1" s="28">
      <c r="A8" s="27" t="inlineStr">
        <is>
          <t>Car</t>
        </is>
      </c>
      <c r="B8" s="27" t="inlineStr">
        <is>
          <t>System</t>
        </is>
      </c>
      <c r="C8" s="27" t="inlineStr">
        <is>
          <t>Overdue</t>
        </is>
      </c>
      <c r="E8" s="27" t="inlineStr">
        <is>
          <t>Yearly</t>
        </is>
      </c>
      <c r="G8" s="27" t="inlineStr">
        <is>
          <t>Other</t>
        </is>
      </c>
      <c r="I8" s="27" t="inlineStr">
        <is>
          <t>10+ years</t>
        </is>
      </c>
      <c r="J8" s="27" t="inlineStr">
        <is>
          <t>Paused</t>
        </is>
      </c>
      <c r="K8" s="27" t="inlineStr">
        <is>
          <t>Education</t>
        </is>
      </c>
      <c r="L8" s="27" t="inlineStr">
        <is>
          <t>Telecom</t>
        </is>
      </c>
      <c r="N8" s="27" t="inlineStr">
        <is>
          <t>O-</t>
        </is>
      </c>
    </row>
    <row r="9" ht="15" customHeight="1" s="28">
      <c r="A9" s="27" t="inlineStr">
        <is>
          <t>Contacts</t>
        </is>
      </c>
      <c r="E9" s="27" t="inlineStr">
        <is>
          <t>Custom</t>
        </is>
      </c>
      <c r="K9" s="27" t="inlineStr">
        <is>
          <t>Health</t>
        </is>
      </c>
      <c r="L9" s="27" t="inlineStr">
        <is>
          <t>Other</t>
        </is>
      </c>
      <c r="N9" s="27" t="inlineStr">
        <is>
          <t>AB+</t>
        </is>
      </c>
    </row>
    <row r="10" ht="15" customHeight="1" s="28">
      <c r="A10" s="27" t="inlineStr">
        <is>
          <t>Contracts</t>
        </is>
      </c>
      <c r="K10" s="27" t="inlineStr">
        <is>
          <t>Dining out</t>
        </is>
      </c>
      <c r="N10" s="27" t="inlineStr">
        <is>
          <t>AB-</t>
        </is>
      </c>
    </row>
    <row r="11" ht="15" customHeight="1" s="28">
      <c r="A11" s="27" t="inlineStr">
        <is>
          <t>People</t>
        </is>
      </c>
      <c r="K11" s="27" t="inlineStr">
        <is>
          <t>Entertainment</t>
        </is>
      </c>
      <c r="N11" s="27" t="inlineStr">
        <is>
          <t>Unknown</t>
        </is>
      </c>
    </row>
    <row r="12" ht="15" customHeight="1" s="28">
      <c r="A12" s="27" t="inlineStr">
        <is>
          <t>Other</t>
        </is>
      </c>
      <c r="K12" s="27" t="inlineStr">
        <is>
          <t>Clothing</t>
        </is>
      </c>
    </row>
    <row r="13" ht="15" customHeight="1" s="28">
      <c r="K13" s="27" t="inlineStr">
        <is>
          <t>Travel</t>
        </is>
      </c>
    </row>
    <row r="14" ht="15" customHeight="1" s="28">
      <c r="K14" s="27" t="inlineStr">
        <is>
          <t>Insurance</t>
        </is>
      </c>
    </row>
    <row r="15" ht="15" customHeight="1" s="28">
      <c r="K15" s="27" t="inlineStr">
        <is>
          <t>Subscriptions</t>
        </is>
      </c>
    </row>
    <row r="16" ht="15" customHeight="1" s="28">
      <c r="K16" s="27" t="inlineStr">
        <is>
          <t>Gifts</t>
        </is>
      </c>
    </row>
    <row r="17" ht="15" customHeight="1" s="28">
      <c r="K17" s="27" t="inlineStr">
        <is>
          <t>Savings</t>
        </is>
      </c>
    </row>
    <row r="18" ht="15" customHeight="1" s="28">
      <c r="K18" s="27" t="inlineStr">
        <is>
          <t>Other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you@example.com</t>
        </is>
      </c>
      <c r="B2" t="inlineStr">
        <is>
          <t>Adar</t>
        </is>
      </c>
    </row>
    <row r="3">
      <c r="A3" t="inlineStr">
        <is>
          <t>partner@example.com</t>
        </is>
      </c>
      <c r="B3" t="inlineStr">
        <is>
          <t>Shanee</t>
        </is>
      </c>
    </row>
    <row r="4">
      <c r="A4" t="inlineStr">
        <is>
          <t>lang</t>
        </is>
      </c>
      <c r="B4" t="inlineStr">
        <is>
          <t>he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msg_id</t>
        </is>
      </c>
      <c r="B1" t="inlineStr">
        <is>
          <t>group_name</t>
        </is>
      </c>
      <c r="C1" t="inlineStr">
        <is>
          <t>group_type</t>
        </is>
      </c>
      <c r="D1" t="inlineStr">
        <is>
          <t>sender_name</t>
        </is>
      </c>
      <c r="E1" t="inlineStr">
        <is>
          <t>sender_role</t>
        </is>
      </c>
      <c r="F1" t="inlineStr">
        <is>
          <t>received_at</t>
        </is>
      </c>
      <c r="G1" t="inlineStr">
        <is>
          <t>text</t>
        </is>
      </c>
      <c r="H1" t="inlineStr">
        <is>
          <t>has_media</t>
        </is>
      </c>
      <c r="I1" t="inlineStr">
        <is>
          <t>classification</t>
        </is>
      </c>
      <c r="J1" t="inlineStr">
        <is>
          <t>one_liner</t>
        </is>
      </c>
      <c r="K1" t="inlineStr">
        <is>
          <t>action_required</t>
        </is>
      </c>
      <c r="L1" t="inlineStr">
        <is>
          <t>action_owner</t>
        </is>
      </c>
      <c r="M1" t="inlineStr">
        <is>
          <t>critical</t>
        </is>
      </c>
      <c r="N1" t="inlineStr">
        <is>
          <t>dispatched</t>
        </is>
      </c>
      <c r="O1" t="inlineStr">
        <is>
          <t>dispatched_at</t>
        </is>
      </c>
      <c r="P1" t="inlineStr">
        <is>
          <t>digested_at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msg_id</t>
        </is>
      </c>
      <c r="B1" t="inlineStr">
        <is>
          <t>group_name</t>
        </is>
      </c>
      <c r="C1" t="inlineStr">
        <is>
          <t>sender_name</t>
        </is>
      </c>
      <c r="D1" t="inlineStr">
        <is>
          <t>received_at</t>
        </is>
      </c>
      <c r="E1" t="inlineStr">
        <is>
          <t>text</t>
        </is>
      </c>
      <c r="F1" t="inlineStr">
        <is>
          <t>one_liner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2026-05-25T19:38:55Z</dcterms:created>
  <dcterms:modified xsi:type="dcterms:W3CDTF">2026-06-12T04:00:12Z</dcterms:modified>
  <cp:revision>0</cp:revision>
</cp:coreProperties>
</file>