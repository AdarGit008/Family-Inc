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eople" sheetId="2" state="visible" r:id="rId4"/>
    <sheet name="Calendars" sheetId="3" state="visible" r:id="rId5"/>
    <sheet name="Calendar-Events" sheetId="4" state="visible" r:id="rId6"/>
    <sheet name="Reminders" sheetId="5" state="visible" r:id="rId7"/>
    <sheet name="Finance-Accts" sheetId="6" state="visible" r:id="rId8"/>
    <sheet name="Finance-Txns" sheetId="7" state="visible" r:id="rId9"/>
    <sheet name="Finance-Bdgt" sheetId="8" state="visible" r:id="rId10"/>
    <sheet name="Goals" sheetId="9" state="visible" r:id="rId11"/>
    <sheet name="Education" sheetId="10" state="visible" r:id="rId12"/>
    <sheet name="Health" sheetId="11" state="visible" r:id="rId13"/>
    <sheet name="Car" sheetId="12" state="visible" r:id="rId14"/>
    <sheet name="Contacts" sheetId="13" state="visible" r:id="rId15"/>
    <sheet name="Contracts" sheetId="14" state="visible" r:id="rId16"/>
    <sheet name="Lists" sheetId="15" state="hidden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<sst xmlns="http://schemas.openxmlformats.org/spreadsheetml/2006/main" count="595" uniqueCount="375">
  <si>
    <t xml:space="preserve">Family inc. — Master Operating Sheet</t>
  </si>
  <si>
    <t xml:space="preserve">Last updated: 2026-05-27 (added Calendar-Events tab for Phase 1)</t>
  </si>
  <si>
    <t xml:space="preserve">How to use this workbook</t>
  </si>
  <si>
    <t xml:space="preserve">1. Upload this file to Google Drive, right-click → Open with → Google Sheets.</t>
  </si>
  <si>
    <t xml:space="preserve">   That creates a Google Sheets version that all automations will read from.</t>
  </si>
  <si>
    <t xml:space="preserve">2. Each tab is a domain. Yellow rows are SAMPLE entries — replace them with your real data, then change the cell color to white.</t>
  </si>
  <si>
    <t xml:space="preserve">3. The 'Reminders' tab is the heart of the system. Every domain (Health, Car, Education, Finance, Contracts) writes its due-dates here. One daily automation reads this tab and decides whether to send a WhatsApp alert today.</t>
  </si>
  <si>
    <t xml:space="preserve">4. Don't rename tabs or columns. Automations key off exact names.</t>
  </si>
  <si>
    <t xml:space="preserve">5. To add a new family member, add a row in 'People' first — then reference their name elsewhere.</t>
  </si>
  <si>
    <t xml:space="preserve">Domain tabs</t>
  </si>
  <si>
    <t xml:space="preserve">  People         — household members, IDs, Kupot Holim, allergies</t>
  </si>
  <si>
    <t xml:space="preserve">  Calendars      — registered Google + iCloud calendars and color codes</t>
  </si>
  <si>
    <t xml:space="preserve">  Reminders      — the central reminder table (every domain writes here)</t>
  </si>
  <si>
    <t xml:space="preserve">  Finance-Accts  — bank/card accounts; updated by monthly CSV import</t>
  </si>
  <si>
    <t xml:space="preserve">  Finance-Txns   — append-only transaction ledger</t>
  </si>
  <si>
    <t xml:space="preserve">  Finance-Bdgt   — monthly budget by category, actuals vs targets</t>
  </si>
  <si>
    <t xml:space="preserve">  Goals          — 3-5 year goals, 90-day milestones, progress</t>
  </si>
  <si>
    <t xml:space="preserve">  Education      — per-child school/preschool, key dates, contacts</t>
  </si>
  <si>
    <t xml:space="preserve">  Health         — per-person providers, last visit, next due, vaccines</t>
  </si>
  <si>
    <t xml:space="preserve">  Car            — vehicles, test/insurance/license dates, mechanic</t>
  </si>
  <si>
    <t xml:space="preserve">  Contacts       — people directory (doctors, teachers, tradespeople)</t>
  </si>
  <si>
    <t xml:space="preserve">  Contracts      — insurance, mortgage, utilities, renewal dates</t>
  </si>
  <si>
    <t xml:space="preserve">What Cowork will do with this</t>
  </si>
  <si>
    <t xml:space="preserve">  - Daily 07:30: scan Reminders tab → fire WhatsApp alerts for today's due items</t>
  </si>
  <si>
    <t xml:space="preserve">  - Sunday 18:00: full weekly family briefing across all domains → WhatsApp</t>
  </si>
  <si>
    <t xml:space="preserve">  - Monthly 1st: import any new finance CSVs, categorize, send digest with anomalies</t>
  </si>
  <si>
    <t xml:space="preserve">  - Friday 17:00: long-term goals progress report</t>
  </si>
  <si>
    <t xml:space="preserve">Off-limits</t>
  </si>
  <si>
    <t xml:space="preserve">  - Do not put account passwords, OTP secrets, or 2FA codes in this file.</t>
  </si>
  <si>
    <t xml:space="preserve">  - Do not put credit card full numbers (last 4 digits only).</t>
  </si>
  <si>
    <t xml:space="preserve">  - Account credentials should live in a password manager, not here.</t>
  </si>
  <si>
    <t xml:space="preserve">Name</t>
  </si>
  <si>
    <t xml:space="preserve">Role</t>
  </si>
  <si>
    <t xml:space="preserve">Date of Birth</t>
  </si>
  <si>
    <t xml:space="preserve">Teudat Zehut</t>
  </si>
  <si>
    <t xml:space="preserve">Kupat Holim</t>
  </si>
  <si>
    <t xml:space="preserve">Primary Doctor</t>
  </si>
  <si>
    <t xml:space="preserve">Blood Type</t>
  </si>
  <si>
    <t xml:space="preserve">Allergies</t>
  </si>
  <si>
    <t xml:space="preserve">Notes</t>
  </si>
  <si>
    <t xml:space="preserve">[Adar]</t>
  </si>
  <si>
    <t xml:space="preserve">Parent</t>
  </si>
  <si>
    <t xml:space="preserve">000000000</t>
  </si>
  <si>
    <t xml:space="preserve">Clalit</t>
  </si>
  <si>
    <t xml:space="preserve">Dr. Cohen</t>
  </si>
  <si>
    <t xml:space="preserve">O+</t>
  </si>
  <si>
    <t xml:space="preserve">None</t>
  </si>
  <si>
    <t xml:space="preserve">Replace with real values</t>
  </si>
  <si>
    <t xml:space="preserve">[Partner]</t>
  </si>
  <si>
    <t xml:space="preserve">Maccabi</t>
  </si>
  <si>
    <t xml:space="preserve">Dr. Levi</t>
  </si>
  <si>
    <t xml:space="preserve">A+</t>
  </si>
  <si>
    <t xml:space="preserve">Peanuts</t>
  </si>
  <si>
    <t xml:space="preserve">[Child 1]</t>
  </si>
  <si>
    <t xml:space="preserve">Child</t>
  </si>
  <si>
    <t xml:space="preserve">?</t>
  </si>
  <si>
    <t xml:space="preserve">[Child 2]</t>
  </si>
  <si>
    <t xml:space="preserve">Dairy</t>
  </si>
  <si>
    <t xml:space="preserve">Calendar Name</t>
  </si>
  <si>
    <t xml:space="preserve">Source</t>
  </si>
  <si>
    <t xml:space="preserve">Owner</t>
  </si>
  <si>
    <t xml:space="preserve">Color</t>
  </si>
  <si>
    <t xml:space="preserve">Sync Direction</t>
  </si>
  <si>
    <t xml:space="preserve">Last Synced</t>
  </si>
  <si>
    <t xml:space="preserve">[Adar — Personal]</t>
  </si>
  <si>
    <t xml:space="preserve">Google</t>
  </si>
  <si>
    <t xml:space="preserve">Adar</t>
  </si>
  <si>
    <t xml:space="preserve">Blue</t>
  </si>
  <si>
    <t xml:space="preserve">Read</t>
  </si>
  <si>
    <t xml:space="preserve">Primary Google calendar</t>
  </si>
  <si>
    <t xml:space="preserve">[Partner — Personal]</t>
  </si>
  <si>
    <t xml:space="preserve">iCloud</t>
  </si>
  <si>
    <t xml:space="preserve">Partner</t>
  </si>
  <si>
    <t xml:space="preserve">Pink</t>
  </si>
  <si>
    <t xml:space="preserve">Read (CalDAV)</t>
  </si>
  <si>
    <t xml:space="preserve">Use app-specific password</t>
  </si>
  <si>
    <t xml:space="preserve">[Family Shared]</t>
  </si>
  <si>
    <t xml:space="preserve">Both</t>
  </si>
  <si>
    <t xml:space="preserve">Green</t>
  </si>
  <si>
    <t xml:space="preserve">Read/Write</t>
  </si>
  <si>
    <t xml:space="preserve">Shared events live here</t>
  </si>
  <si>
    <t xml:space="preserve">[Kids — Preschool]</t>
  </si>
  <si>
    <t xml:space="preserve">Orange</t>
  </si>
  <si>
    <t xml:space="preserve">Subscribed from preschool</t>
  </si>
  <si>
    <t xml:space="preserve">Date</t>
  </si>
  <si>
    <t xml:space="preserve">Start</t>
  </si>
  <si>
    <t xml:space="preserve">End</t>
  </si>
  <si>
    <t xml:space="preserve">Title</t>
  </si>
  <si>
    <t xml:space="preserve">Location</t>
  </si>
  <si>
    <t xml:space="preserve">19:00</t>
  </si>
  <si>
    <t xml:space="preserve">20:30</t>
  </si>
  <si>
    <t xml:space="preserve">Date night</t>
  </si>
  <si>
    <t xml:space="preserve">Manual</t>
  </si>
  <si>
    <t xml:space="preserve">Cafe Levinsky</t>
  </si>
  <si>
    <t xml:space="preserve">Sunday review</t>
  </si>
  <si>
    <t xml:space="preserve">Home</t>
  </si>
  <si>
    <t xml:space="preserve">Sunday family operating ritual</t>
  </si>
  <si>
    <t xml:space="preserve">20:00</t>
  </si>
  <si>
    <t xml:space="preserve">21:30</t>
  </si>
  <si>
    <t xml:space="preserve">Adar's cousin's birthday</t>
  </si>
  <si>
    <t xml:space="preserve">Tel Aviv</t>
  </si>
  <si>
    <t xml:space="preserve">Bring small gift</t>
  </si>
  <si>
    <t xml:space="preserve">Quarterly savings transfer</t>
  </si>
  <si>
    <t xml:space="preserve">System</t>
  </si>
  <si>
    <t xml:space="preserve">Reminders tab</t>
  </si>
  <si>
    <t xml:space="preserve">Auto-linked from Reminders row 8</t>
  </si>
  <si>
    <t xml:space="preserve">Domain</t>
  </si>
  <si>
    <t xml:space="preserve">Due Date</t>
  </si>
  <si>
    <t xml:space="preserve">Lead Times (days)</t>
  </si>
  <si>
    <t xml:space="preserve">Recurrence</t>
  </si>
  <si>
    <t xml:space="preserve">Status</t>
  </si>
  <si>
    <t xml:space="preserve">Last Sent</t>
  </si>
  <si>
    <t xml:space="preserve">Channel</t>
  </si>
  <si>
    <t xml:space="preserve">Days until</t>
  </si>
  <si>
    <t xml:space="preserve">Auto-flag</t>
  </si>
  <si>
    <t xml:space="preserve">Car annual test (Test Rishui)</t>
  </si>
  <si>
    <t xml:space="preserve">Car</t>
  </si>
  <si>
    <t xml:space="preserve">60,30,7,1</t>
  </si>
  <si>
    <t xml:space="preserve">Yearly</t>
  </si>
  <si>
    <t xml:space="preserve">Pending</t>
  </si>
  <si>
    <t xml:space="preserve">WhatsApp</t>
  </si>
  <si>
    <t xml:space="preserve">Plate XX-XXX-XX</t>
  </si>
  <si>
    <t xml:space="preserve">Car insurance renewal</t>
  </si>
  <si>
    <t xml:space="preserve">30,7,1</t>
  </si>
  <si>
    <t xml:space="preserve">Currently with Harel</t>
  </si>
  <si>
    <t xml:space="preserve">Dentist — Adar</t>
  </si>
  <si>
    <t xml:space="preserve">Health</t>
  </si>
  <si>
    <t xml:space="preserve">30,7</t>
  </si>
  <si>
    <t xml:space="preserve">6-month</t>
  </si>
  <si>
    <t xml:space="preserve">Dentist — Child 1</t>
  </si>
  <si>
    <t xml:space="preserve">1st-grade registration opens</t>
  </si>
  <si>
    <t xml:space="preserve">Education</t>
  </si>
  <si>
    <t xml:space="preserve">30,14,7,1</t>
  </si>
  <si>
    <t xml:space="preserve">Once</t>
  </si>
  <si>
    <t xml:space="preserve">City portal</t>
  </si>
  <si>
    <t xml:space="preserve">Parent-teacher conference</t>
  </si>
  <si>
    <t xml:space="preserve">14,3,1</t>
  </si>
  <si>
    <t xml:space="preserve">Bi-yearly</t>
  </si>
  <si>
    <t xml:space="preserve">Finance</t>
  </si>
  <si>
    <t xml:space="preserve">7,1</t>
  </si>
  <si>
    <t xml:space="preserve">Quarterly</t>
  </si>
  <si>
    <t xml:space="preserve">₪5000 → savings</t>
  </si>
  <si>
    <t xml:space="preserve">Pay annual home insurance</t>
  </si>
  <si>
    <t xml:space="preserve">14,3</t>
  </si>
  <si>
    <t xml:space="preserve">Account Name</t>
  </si>
  <si>
    <t xml:space="preserve">Type</t>
  </si>
  <si>
    <t xml:space="preserve">Bank/Provider</t>
  </si>
  <si>
    <t xml:space="preserve">Last 4</t>
  </si>
  <si>
    <t xml:space="preserve">Currency</t>
  </si>
  <si>
    <t xml:space="preserve">Last Imported</t>
  </si>
  <si>
    <t xml:space="preserve">Balance Snapshot</t>
  </si>
  <si>
    <t xml:space="preserve">[Joint Checking]</t>
  </si>
  <si>
    <t xml:space="preserve">Checking</t>
  </si>
  <si>
    <t xml:space="preserve">Bank Hapoalim</t>
  </si>
  <si>
    <t xml:space="preserve">1234</t>
  </si>
  <si>
    <t xml:space="preserve">ILS</t>
  </si>
  <si>
    <t xml:space="preserve">Primary household account</t>
  </si>
  <si>
    <t xml:space="preserve">[Adar Savings]</t>
  </si>
  <si>
    <t xml:space="preserve">Savings</t>
  </si>
  <si>
    <t xml:space="preserve">5678</t>
  </si>
  <si>
    <t xml:space="preserve">[Visa Cal — Adar]</t>
  </si>
  <si>
    <t xml:space="preserve">Credit Card</t>
  </si>
  <si>
    <t xml:space="preserve">Cal</t>
  </si>
  <si>
    <t xml:space="preserve">9012</t>
  </si>
  <si>
    <t xml:space="preserve">[Mastercard — Partner]</t>
  </si>
  <si>
    <t xml:space="preserve">Isracard</t>
  </si>
  <si>
    <t xml:space="preserve">3456</t>
  </si>
  <si>
    <t xml:space="preserve">Account</t>
  </si>
  <si>
    <t xml:space="preserve">Description</t>
  </si>
  <si>
    <t xml:space="preserve">Amount (ILS)</t>
  </si>
  <si>
    <t xml:space="preserve">Category</t>
  </si>
  <si>
    <t xml:space="preserve">Subcategory</t>
  </si>
  <si>
    <t xml:space="preserve">Tags</t>
  </si>
  <si>
    <t xml:space="preserve">Imported From</t>
  </si>
  <si>
    <t xml:space="preserve">SHUFERSAL DEAL</t>
  </si>
  <si>
    <t xml:space="preserve">Groceries</t>
  </si>
  <si>
    <t xml:space="preserve">Supermarket</t>
  </si>
  <si>
    <t xml:space="preserve">kids</t>
  </si>
  <si>
    <t xml:space="preserve">hapoalim_2026-05.csv</t>
  </si>
  <si>
    <t xml:space="preserve">Sample row</t>
  </si>
  <si>
    <t xml:space="preserve">PAZ GAS STATION</t>
  </si>
  <si>
    <t xml:space="preserve">Transport</t>
  </si>
  <si>
    <t xml:space="preserve">Fuel</t>
  </si>
  <si>
    <t xml:space="preserve">car</t>
  </si>
  <si>
    <t xml:space="preserve">cal_2026-05.csv</t>
  </si>
  <si>
    <t xml:space="preserve">MORTGAGE PAYMENT</t>
  </si>
  <si>
    <t xml:space="preserve">Housing</t>
  </si>
  <si>
    <t xml:space="preserve">Mortgage</t>
  </si>
  <si>
    <t xml:space="preserve">fixed</t>
  </si>
  <si>
    <t xml:space="preserve">SALARY — ADAR</t>
  </si>
  <si>
    <t xml:space="preserve">Income</t>
  </si>
  <si>
    <t xml:space="preserve">Salary</t>
  </si>
  <si>
    <t xml:space="preserve">income</t>
  </si>
  <si>
    <t xml:space="preserve">Monthly Target (ILS)</t>
  </si>
  <si>
    <t xml:space="preserve">Actual (current month)</t>
  </si>
  <si>
    <t xml:space="preserve">Variance</t>
  </si>
  <si>
    <t xml:space="preserve">% of Target</t>
  </si>
  <si>
    <t xml:space="preserve">YTD Actual</t>
  </si>
  <si>
    <t xml:space="preserve">As-of date</t>
  </si>
  <si>
    <t xml:space="preserve">Current month tag</t>
  </si>
  <si>
    <t xml:space="preserve">Childcare</t>
  </si>
  <si>
    <t xml:space="preserve">Utilities</t>
  </si>
  <si>
    <t xml:space="preserve">Entertainment</t>
  </si>
  <si>
    <t xml:space="preserve">Dining out</t>
  </si>
  <si>
    <t xml:space="preserve">Subscriptions</t>
  </si>
  <si>
    <t xml:space="preserve">Other</t>
  </si>
  <si>
    <t xml:space="preserve">TOTAL</t>
  </si>
  <si>
    <t xml:space="preserve">Goal</t>
  </si>
  <si>
    <t xml:space="preserve">Horizon</t>
  </si>
  <si>
    <t xml:space="preserve">Target Date</t>
  </si>
  <si>
    <t xml:space="preserve">90-Day Milestone</t>
  </si>
  <si>
    <t xml:space="preserve">% Complete</t>
  </si>
  <si>
    <t xml:space="preserve">Last Update</t>
  </si>
  <si>
    <t xml:space="preserve">[Buy a home in the Center]</t>
  </si>
  <si>
    <t xml:space="preserve">3 years</t>
  </si>
  <si>
    <t xml:space="preserve">Open dedicated savings account + 30k₪ in</t>
  </si>
  <si>
    <t xml:space="preserve">On track</t>
  </si>
  <si>
    <t xml:space="preserve">Need partner alignment on neighborhood</t>
  </si>
  <si>
    <t xml:space="preserve">[60k₪ emergency fund]</t>
  </si>
  <si>
    <t xml:space="preserve">1 year</t>
  </si>
  <si>
    <t xml:space="preserve">Reach 20k₪</t>
  </si>
  <si>
    <t xml:space="preserve">[Career: lead larger team]</t>
  </si>
  <si>
    <t xml:space="preserve">2 years</t>
  </si>
  <si>
    <t xml:space="preserve">Take internal management course</t>
  </si>
  <si>
    <t xml:space="preserve">Not started</t>
  </si>
  <si>
    <t xml:space="preserve">Institution</t>
  </si>
  <si>
    <t xml:space="preserve">Year/Grade</t>
  </si>
  <si>
    <t xml:space="preserve">Teacher/Caregiver</t>
  </si>
  <si>
    <t xml:space="preserve">Next Key Date</t>
  </si>
  <si>
    <t xml:space="preserve">Action Needed</t>
  </si>
  <si>
    <t xml:space="preserve">Contact</t>
  </si>
  <si>
    <t xml:space="preserve">[Preschool name]</t>
  </si>
  <si>
    <t xml:space="preserve">Gan Trom-Hova</t>
  </si>
  <si>
    <t xml:space="preserve">[Teacher]</t>
  </si>
  <si>
    <t xml:space="preserve">School year start</t>
  </si>
  <si>
    <t xml:space="preserve">Buy supplies, label clothes</t>
  </si>
  <si>
    <t xml:space="preserve">[teacher@school]</t>
  </si>
  <si>
    <t xml:space="preserve">Parent-teacher</t>
  </si>
  <si>
    <t xml:space="preserve">Schedule meeting slot</t>
  </si>
  <si>
    <t xml:space="preserve">[Daycare name]</t>
  </si>
  <si>
    <t xml:space="preserve">Maon</t>
  </si>
  <si>
    <t xml:space="preserve">[Caregiver]</t>
  </si>
  <si>
    <t xml:space="preserve">Register on city portal</t>
  </si>
  <si>
    <t xml:space="preserve">[city helpdesk]</t>
  </si>
  <si>
    <t xml:space="preserve">Adar to lead</t>
  </si>
  <si>
    <t xml:space="preserve">Person</t>
  </si>
  <si>
    <t xml:space="preserve">Provider</t>
  </si>
  <si>
    <t xml:space="preserve">Specialty</t>
  </si>
  <si>
    <t xml:space="preserve">Last Visit</t>
  </si>
  <si>
    <t xml:space="preserve">Next Due</t>
  </si>
  <si>
    <t xml:space="preserve">Frequency</t>
  </si>
  <si>
    <t xml:space="preserve">Dr. Cohen — Clalit</t>
  </si>
  <si>
    <t xml:space="preserve">Family doctor</t>
  </si>
  <si>
    <t xml:space="preserve">Schedule annual check</t>
  </si>
  <si>
    <t xml:space="preserve">[clinic phone]</t>
  </si>
  <si>
    <t xml:space="preserve">Dr. Stern</t>
  </si>
  <si>
    <t xml:space="preserve">Dentist</t>
  </si>
  <si>
    <t xml:space="preserve">Schedule cleaning</t>
  </si>
  <si>
    <t xml:space="preserve">Dr. Levi — Maccabi</t>
  </si>
  <si>
    <t xml:space="preserve">Pediatrician</t>
  </si>
  <si>
    <t xml:space="preserve">Routine check</t>
  </si>
  <si>
    <t xml:space="preserve">Tipat Halav</t>
  </si>
  <si>
    <t xml:space="preserve">Vaccines</t>
  </si>
  <si>
    <t xml:space="preserve">Per schedule</t>
  </si>
  <si>
    <t xml:space="preserve">MMR booster</t>
  </si>
  <si>
    <t xml:space="preserve">[Tipat Halav phone]</t>
  </si>
  <si>
    <t xml:space="preserve">12-month vaccines</t>
  </si>
  <si>
    <t xml:space="preserve">Vehicle</t>
  </si>
  <si>
    <t xml:space="preserve">Plate</t>
  </si>
  <si>
    <t xml:space="preserve">Annual Test (Rishui)</t>
  </si>
  <si>
    <t xml:space="preserve">Insurance Renewal</t>
  </si>
  <si>
    <t xml:space="preserve">Insurance Provider</t>
  </si>
  <si>
    <t xml:space="preserve">License Expiry</t>
  </si>
  <si>
    <t xml:space="preserve">Mechanic</t>
  </si>
  <si>
    <t xml:space="preserve">[Make/Model — Year]</t>
  </si>
  <si>
    <t xml:space="preserve">[XX-XXX-XX]</t>
  </si>
  <si>
    <t xml:space="preserve">Harel</t>
  </si>
  <si>
    <t xml:space="preserve">[Mechanic shop]</t>
  </si>
  <si>
    <t xml:space="preserve">Last service date in notes</t>
  </si>
  <si>
    <t xml:space="preserve">Phone</t>
  </si>
  <si>
    <t xml:space="preserve">Email</t>
  </si>
  <si>
    <t xml:space="preserve">Linked Domain</t>
  </si>
  <si>
    <t xml:space="preserve">Family doctor — Clalit</t>
  </si>
  <si>
    <t xml:space="preserve">[phone]</t>
  </si>
  <si>
    <t xml:space="preserve">[email]</t>
  </si>
  <si>
    <t xml:space="preserve">First call for Adar + kids</t>
  </si>
  <si>
    <t xml:space="preserve">[Mechanic name]</t>
  </si>
  <si>
    <t xml:space="preserve">Auto mechanic</t>
  </si>
  <si>
    <t xml:space="preserve">[Teacher name]</t>
  </si>
  <si>
    <t xml:space="preserve">Preschool teacher</t>
  </si>
  <si>
    <t xml:space="preserve">Child 1 preschool</t>
  </si>
  <si>
    <t xml:space="preserve">[Insurance agent]</t>
  </si>
  <si>
    <t xml:space="preserve">Home + car insurance</t>
  </si>
  <si>
    <t xml:space="preserve">Contracts</t>
  </si>
  <si>
    <t xml:space="preserve">Harel agent</t>
  </si>
  <si>
    <t xml:space="preserve">[Accountant name]</t>
  </si>
  <si>
    <t xml:space="preserve">Family accountant</t>
  </si>
  <si>
    <t xml:space="preserve">Contract</t>
  </si>
  <si>
    <t xml:space="preserve">Start Date</t>
  </si>
  <si>
    <t xml:space="preserve">Renewal Date</t>
  </si>
  <si>
    <t xml:space="preserve">Monthly Cost (ILS)</t>
  </si>
  <si>
    <t xml:space="preserve">Annual Cost (ILS)</t>
  </si>
  <si>
    <t xml:space="preserve">Auto-Renew</t>
  </si>
  <si>
    <t xml:space="preserve">[Mortgage]</t>
  </si>
  <si>
    <t xml:space="preserve">—</t>
  </si>
  <si>
    <t xml:space="preserve">Yes</t>
  </si>
  <si>
    <t xml:space="preserve">30-year fixed</t>
  </si>
  <si>
    <t xml:space="preserve">[Home insurance]</t>
  </si>
  <si>
    <t xml:space="preserve">Insurance</t>
  </si>
  <si>
    <t xml:space="preserve">[Car insurance]</t>
  </si>
  <si>
    <t xml:space="preserve">No</t>
  </si>
  <si>
    <t xml:space="preserve">Shop around each year</t>
  </si>
  <si>
    <t xml:space="preserve">[Electricity]</t>
  </si>
  <si>
    <t xml:space="preserve">IEC</t>
  </si>
  <si>
    <t xml:space="preserve">Utility</t>
  </si>
  <si>
    <t xml:space="preserve">Estimated avg</t>
  </si>
  <si>
    <t xml:space="preserve">[Internet]</t>
  </si>
  <si>
    <t xml:space="preserve">Bezeq</t>
  </si>
  <si>
    <t xml:space="preserve">[Mobile — Adar]</t>
  </si>
  <si>
    <t xml:space="preserve">Pelephone</t>
  </si>
  <si>
    <t xml:space="preserve">Controlled vocabularies — edit here, dropdowns update everywhere.</t>
  </si>
  <si>
    <t xml:space="preserve">AcctType</t>
  </si>
  <si>
    <t xml:space="preserve">SyncDir</t>
  </si>
  <si>
    <t xml:space="preserve">GoalStatus</t>
  </si>
  <si>
    <t xml:space="preserve">BudgetCat</t>
  </si>
  <si>
    <t xml:space="preserve">ContractType</t>
  </si>
  <si>
    <t xml:space="preserve">AutoRenew</t>
  </si>
  <si>
    <t xml:space="preserve">BloodType</t>
  </si>
  <si>
    <t xml:space="preserve">Kupat</t>
  </si>
  <si>
    <t xml:space="preserve">Calendar</t>
  </si>
  <si>
    <t xml:space="preserve">One-off</t>
  </si>
  <si>
    <t xml:space="preserve">3 months</t>
  </si>
  <si>
    <t xml:space="preserve">Snoozed</t>
  </si>
  <si>
    <t xml:space="preserve">Daily</t>
  </si>
  <si>
    <t xml:space="preserve">USD</t>
  </si>
  <si>
    <t xml:space="preserve">Write</t>
  </si>
  <si>
    <t xml:space="preserve">6 months</t>
  </si>
  <si>
    <t xml:space="preserve">Rent</t>
  </si>
  <si>
    <t xml:space="preserve">A-</t>
  </si>
  <si>
    <t xml:space="preserve">Goals</t>
  </si>
  <si>
    <t xml:space="preserve">Sent</t>
  </si>
  <si>
    <t xml:space="preserve">Weekly</t>
  </si>
  <si>
    <t xml:space="preserve">EUR</t>
  </si>
  <si>
    <t xml:space="preserve">Read-Write</t>
  </si>
  <si>
    <t xml:space="preserve">At risk</t>
  </si>
  <si>
    <t xml:space="preserve">Unknown</t>
  </si>
  <si>
    <t xml:space="preserve">B+</t>
  </si>
  <si>
    <t xml:space="preserve">Meuhedet</t>
  </si>
  <si>
    <t xml:space="preserve">Child 1</t>
  </si>
  <si>
    <t xml:space="preserve">Done</t>
  </si>
  <si>
    <t xml:space="preserve">Monthly</t>
  </si>
  <si>
    <t xml:space="preserve">GBP</t>
  </si>
  <si>
    <t xml:space="preserve">Investment</t>
  </si>
  <si>
    <t xml:space="preserve">Disabled</t>
  </si>
  <si>
    <t xml:space="preserve">Blocked</t>
  </si>
  <si>
    <t xml:space="preserve">B-</t>
  </si>
  <si>
    <t xml:space="preserve">Leumit</t>
  </si>
  <si>
    <t xml:space="preserve">Child 2</t>
  </si>
  <si>
    <t xml:space="preserve">Skipped</t>
  </si>
  <si>
    <t xml:space="preserve">Loan</t>
  </si>
  <si>
    <t xml:space="preserve">5 years</t>
  </si>
  <si>
    <t xml:space="preserve">Subscription</t>
  </si>
  <si>
    <t xml:space="preserve">Overdue</t>
  </si>
  <si>
    <t xml:space="preserve">10+ years</t>
  </si>
  <si>
    <t xml:space="preserve">Paused</t>
  </si>
  <si>
    <t xml:space="preserve">Telecom</t>
  </si>
  <si>
    <t xml:space="preserve">O-</t>
  </si>
  <si>
    <t xml:space="preserve">Contacts</t>
  </si>
  <si>
    <t xml:space="preserve">Custom</t>
  </si>
  <si>
    <t xml:space="preserve">AB+</t>
  </si>
  <si>
    <t xml:space="preserve">AB-</t>
  </si>
  <si>
    <t xml:space="preserve">People</t>
  </si>
  <si>
    <t xml:space="preserve">Clothing</t>
  </si>
  <si>
    <t xml:space="preserve">Travel</t>
  </si>
  <si>
    <t xml:space="preserve">Gifts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</si>
</sst>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;\(#,##0\);\-"/>
    <numFmt numFmtId="167" formatCode="0.0%;\-0.0%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FFF2CC"/>
        <bgColor rgb="FFEDEDED"/>
      </patternFill>
    </fill>
    <fill>
      <patternFill patternType="solid">
        <fgColor rgb="FFD9E1F2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FE699"/>
        </patternFill>
      </fill>
    </dxf>
    <dxf>
      <font>
        <i val="1"/>
        <color rgb="FF7F7F7F"/>
      </font>
      <fill>
        <patternFill>
          <bgColor rgb="FFEDEDED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ont>
        <b val="1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699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.75" hidden="false" customHeight="true" outlineLevel="0" collapsed="false">
      <c r="A4" s="5" t="s">
        <v>2</v>
      </c>
    </row>
    <row r="5" customFormat="false" ht="15" hidden="false" customHeight="true" outlineLevel="0" collapsed="false">
      <c r="A5" s="4"/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6" t="s">
        <v>4</v>
      </c>
    </row>
    <row r="8" customFormat="false" ht="15" hidden="false" customHeight="true" outlineLevel="0" collapsed="false">
      <c r="A8" s="4"/>
    </row>
    <row r="9" customFormat="false" ht="15" hidden="false" customHeight="true" outlineLevel="0" collapsed="false">
      <c r="A9" s="4" t="s">
        <v>5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4" t="s">
        <v>6</v>
      </c>
    </row>
    <row r="12" customFormat="false" ht="15" hidden="false" customHeight="true" outlineLevel="0" collapsed="false">
      <c r="A12" s="4"/>
    </row>
    <row r="13" customFormat="false" ht="15" hidden="false" customHeight="true" outlineLevel="0" collapsed="false">
      <c r="A13" s="4" t="s">
        <v>7</v>
      </c>
    </row>
    <row r="14" customFormat="false" ht="15" hidden="false" customHeight="true" outlineLevel="0" collapsed="false">
      <c r="A14" s="4"/>
    </row>
    <row r="15" customFormat="false" ht="15" hidden="false" customHeight="true" outlineLevel="0" collapsed="false">
      <c r="A15" s="4" t="s">
        <v>8</v>
      </c>
    </row>
    <row r="16" customFormat="false" ht="15" hidden="false" customHeight="true" outlineLevel="0" collapsed="false">
      <c r="A16" s="4"/>
    </row>
    <row r="17" customFormat="false" ht="15.75" hidden="false" customHeight="true" outlineLevel="0" collapsed="false">
      <c r="A17" s="5" t="s">
        <v>9</v>
      </c>
    </row>
    <row r="18" customFormat="false" ht="15" hidden="false" customHeight="true" outlineLevel="0" collapsed="false">
      <c r="A18" s="4"/>
    </row>
    <row r="19" customFormat="false" ht="15" hidden="false" customHeight="true" outlineLevel="0" collapsed="false">
      <c r="A19" s="6" t="s">
        <v>10</v>
      </c>
    </row>
    <row r="20" customFormat="false" ht="15" hidden="false" customHeight="true" outlineLevel="0" collapsed="false">
      <c r="A20" s="6" t="s">
        <v>11</v>
      </c>
    </row>
    <row r="21" customFormat="false" ht="15" hidden="false" customHeight="true" outlineLevel="0" collapsed="false">
      <c r="A21" s="6" t="s">
        <v>12</v>
      </c>
    </row>
    <row r="22" customFormat="false" ht="15" hidden="false" customHeight="true" outlineLevel="0" collapsed="false">
      <c r="A22" s="6" t="s">
        <v>13</v>
      </c>
    </row>
    <row r="23" customFormat="false" ht="15" hidden="false" customHeight="true" outlineLevel="0" collapsed="false">
      <c r="A23" s="6" t="s">
        <v>14</v>
      </c>
    </row>
    <row r="24" customFormat="false" ht="15" hidden="false" customHeight="true" outlineLevel="0" collapsed="false">
      <c r="A24" s="6" t="s">
        <v>15</v>
      </c>
    </row>
    <row r="25" customFormat="false" ht="15" hidden="false" customHeight="true" outlineLevel="0" collapsed="false">
      <c r="A25" s="6" t="s">
        <v>16</v>
      </c>
    </row>
    <row r="26" customFormat="false" ht="15" hidden="false" customHeight="true" outlineLevel="0" collapsed="false">
      <c r="A26" s="6" t="s">
        <v>17</v>
      </c>
    </row>
    <row r="27" customFormat="false" ht="15" hidden="false" customHeight="true" outlineLevel="0" collapsed="false">
      <c r="A27" s="6" t="s">
        <v>18</v>
      </c>
    </row>
    <row r="28" customFormat="false" ht="15" hidden="false" customHeight="true" outlineLevel="0" collapsed="false">
      <c r="A28" s="6" t="s">
        <v>19</v>
      </c>
    </row>
    <row r="29" customFormat="false" ht="15" hidden="false" customHeight="true" outlineLevel="0" collapsed="false">
      <c r="A29" s="6" t="s">
        <v>20</v>
      </c>
    </row>
    <row r="30" customFormat="false" ht="15" hidden="false" customHeight="true" outlineLevel="0" collapsed="false">
      <c r="A30" s="6" t="s">
        <v>21</v>
      </c>
    </row>
    <row r="31" customFormat="false" ht="15" hidden="false" customHeight="true" outlineLevel="0" collapsed="false">
      <c r="A31" s="4"/>
    </row>
    <row r="32" customFormat="false" ht="15.75" hidden="false" customHeight="true" outlineLevel="0" collapsed="false">
      <c r="A32" s="5" t="s">
        <v>22</v>
      </c>
    </row>
    <row r="33" customFormat="false" ht="15" hidden="false" customHeight="true" outlineLevel="0" collapsed="false">
      <c r="A33" s="4"/>
    </row>
    <row r="34" customFormat="false" ht="15" hidden="false" customHeight="true" outlineLevel="0" collapsed="false">
      <c r="A34" s="6" t="s">
        <v>23</v>
      </c>
    </row>
    <row r="35" customFormat="false" ht="15" hidden="false" customHeight="true" outlineLevel="0" collapsed="false">
      <c r="A35" s="6" t="s">
        <v>24</v>
      </c>
    </row>
    <row r="36" customFormat="false" ht="15" hidden="false" customHeight="true" outlineLevel="0" collapsed="false">
      <c r="A36" s="6" t="s">
        <v>25</v>
      </c>
    </row>
    <row r="37" customFormat="false" ht="15" hidden="false" customHeight="true" outlineLevel="0" collapsed="false">
      <c r="A37" s="6" t="s">
        <v>26</v>
      </c>
    </row>
    <row r="38" customFormat="false" ht="15" hidden="false" customHeight="true" outlineLevel="0" collapsed="false">
      <c r="A38" s="4"/>
    </row>
    <row r="39" customFormat="false" ht="15.75" hidden="false" customHeight="true" outlineLevel="0" collapsed="false">
      <c r="A39" s="5" t="s">
        <v>27</v>
      </c>
    </row>
    <row r="40" customFormat="false" ht="15" hidden="false" customHeight="true" outlineLevel="0" collapsed="false">
      <c r="A40" s="4"/>
    </row>
    <row r="41" customFormat="false" ht="15" hidden="false" customHeight="true" outlineLevel="0" collapsed="false">
      <c r="A41" s="6" t="s">
        <v>28</v>
      </c>
    </row>
    <row r="42" customFormat="false" ht="15" hidden="false" customHeight="true" outlineLevel="0" collapsed="false">
      <c r="A42" s="6" t="s">
        <v>29</v>
      </c>
    </row>
    <row r="43" customFormat="false" ht="15" hidden="false" customHeight="true" outlineLevel="0" collapsed="false">
      <c r="A43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11"/>
    <col collapsed="false" customWidth="true" hidden="false" outlineLevel="0" max="8" min="8" style="1" width="18"/>
    <col collapsed="false" customWidth="true" hidden="false" outlineLevel="0" max="9" min="9" style="1" width="28"/>
  </cols>
  <sheetData>
    <row r="1" customFormat="false" ht="27.75" hidden="false" customHeight="true" outlineLevel="0" collapsed="false">
      <c r="A1" s="7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</row>
    <row r="2" customFormat="false" ht="36" hidden="false" customHeight="true" outlineLevel="0" collapsed="false">
      <c r="A2" s="8" t="s">
        <v>40</v>
      </c>
      <c r="B2" s="8" t="s">
        <v>41</v>
      </c>
      <c r="C2" s="9" t="n">
        <v>31048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</row>
    <row r="3" customFormat="false" ht="36" hidden="false" customHeight="true" outlineLevel="0" collapsed="false">
      <c r="A3" s="8" t="s">
        <v>48</v>
      </c>
      <c r="B3" s="8" t="s">
        <v>41</v>
      </c>
      <c r="C3" s="9" t="n">
        <v>31413</v>
      </c>
      <c r="D3" s="8" t="s">
        <v>42</v>
      </c>
      <c r="E3" s="8" t="s">
        <v>49</v>
      </c>
      <c r="F3" s="8" t="s">
        <v>50</v>
      </c>
      <c r="G3" s="8" t="s">
        <v>51</v>
      </c>
      <c r="H3" s="8" t="s">
        <v>52</v>
      </c>
      <c r="I3" s="8"/>
    </row>
    <row r="4" customFormat="false" ht="36" hidden="false" customHeight="true" outlineLevel="0" collapsed="false">
      <c r="A4" s="8" t="s">
        <v>53</v>
      </c>
      <c r="B4" s="8" t="s">
        <v>54</v>
      </c>
      <c r="C4" s="9" t="n">
        <v>43101</v>
      </c>
      <c r="D4" s="8" t="s">
        <v>42</v>
      </c>
      <c r="E4" s="8" t="s">
        <v>43</v>
      </c>
      <c r="F4" s="8" t="s">
        <v>44</v>
      </c>
      <c r="G4" s="8" t="s">
        <v>55</v>
      </c>
      <c r="H4" s="8" t="s">
        <v>46</v>
      </c>
      <c r="I4" s="8"/>
    </row>
    <row r="5" customFormat="false" ht="36" hidden="false" customHeight="true" outlineLevel="0" collapsed="false">
      <c r="A5" s="8" t="s">
        <v>56</v>
      </c>
      <c r="B5" s="8" t="s">
        <v>54</v>
      </c>
      <c r="C5" s="9" t="n">
        <v>44197</v>
      </c>
      <c r="D5" s="8" t="s">
        <v>42</v>
      </c>
      <c r="E5" s="8" t="s">
        <v>43</v>
      </c>
      <c r="F5" s="8" t="s">
        <v>44</v>
      </c>
      <c r="G5" s="8" t="s">
        <v>55</v>
      </c>
      <c r="H5" s="8" t="s">
        <v>57</v>
      </c>
      <c r="I5" s="8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</row>
  </sheetData>
  <dataValidations count="3">
    <dataValidation allowBlank="true" errorStyle="stop" operator="between" showDropDown="false" showErrorMessage="false" showInputMessage="false" sqref="B2:B1000" type="list">
      <formula1>"Parent,Child,Extended family,Other"</formula1>
      <formula2>0</formula2>
    </dataValidation>
    <dataValidation allowBlank="true" error="Pick from: Clalit, Maccabi, Meuhedet, Leumit, Other…" errorStyle="stop" errorTitle="Invalid Kupat" operator="between" showDropDown="false" showErrorMessage="false" showInputMessage="false" sqref="E2:E1000" type="list">
      <formula1>Lists!$O$3:$O$7</formula1>
      <formula2>0</formula2>
    </dataValidation>
    <dataValidation allowBlank="true" error="Pick from: A+, A-, B+, B-, O+, O-…" errorStyle="stop" errorTitle="Invalid BloodType" operator="between" showDropDown="false" showErrorMessage="false" showInputMessage="false" sqref="G2:G1000" type="list">
      <formula1>Lists!$N$3:$N$11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27.75" hidden="false" customHeight="true" outlineLevel="0" collapsed="false">
      <c r="A1" s="7" t="s">
        <v>58</v>
      </c>
      <c r="B1" s="7" t="s">
        <v>59</v>
      </c>
      <c r="C1" s="7" t="s">
        <v>60</v>
      </c>
      <c r="D1" s="7" t="s">
        <v>61</v>
      </c>
      <c r="E1" s="7" t="s">
        <v>62</v>
      </c>
      <c r="F1" s="7" t="s">
        <v>63</v>
      </c>
      <c r="G1" s="7" t="s">
        <v>39</v>
      </c>
    </row>
    <row r="2" customFormat="false" ht="36" hidden="false" customHeight="true" outlineLevel="0" collapsed="false">
      <c r="A2" s="8" t="s">
        <v>64</v>
      </c>
      <c r="B2" s="8" t="s">
        <v>65</v>
      </c>
      <c r="C2" s="8" t="s">
        <v>66</v>
      </c>
      <c r="D2" s="8" t="s">
        <v>67</v>
      </c>
      <c r="E2" s="8" t="s">
        <v>68</v>
      </c>
      <c r="F2" s="8"/>
      <c r="G2" s="8" t="s">
        <v>69</v>
      </c>
    </row>
    <row r="3" customFormat="false" ht="36" hidden="false" customHeight="true" outlineLevel="0" collapsed="false">
      <c r="A3" s="8" t="s">
        <v>70</v>
      </c>
      <c r="B3" s="8" t="s">
        <v>71</v>
      </c>
      <c r="C3" s="8" t="s">
        <v>72</v>
      </c>
      <c r="D3" s="8" t="s">
        <v>73</v>
      </c>
      <c r="E3" s="8" t="s">
        <v>74</v>
      </c>
      <c r="F3" s="8"/>
      <c r="G3" s="8" t="s">
        <v>75</v>
      </c>
    </row>
    <row r="4" customFormat="false" ht="36" hidden="false" customHeight="true" outlineLevel="0" collapsed="false">
      <c r="A4" s="8" t="s">
        <v>76</v>
      </c>
      <c r="B4" s="8" t="s">
        <v>65</v>
      </c>
      <c r="C4" s="8" t="s">
        <v>77</v>
      </c>
      <c r="D4" s="8" t="s">
        <v>78</v>
      </c>
      <c r="E4" s="8" t="s">
        <v>79</v>
      </c>
      <c r="F4" s="8"/>
      <c r="G4" s="8" t="s">
        <v>80</v>
      </c>
    </row>
    <row r="5" customFormat="false" ht="36" hidden="false" customHeight="true" outlineLevel="0" collapsed="false">
      <c r="A5" s="8" t="s">
        <v>81</v>
      </c>
      <c r="B5" s="8" t="s">
        <v>65</v>
      </c>
      <c r="C5" s="8" t="s">
        <v>77</v>
      </c>
      <c r="D5" s="8" t="s">
        <v>82</v>
      </c>
      <c r="E5" s="8" t="s">
        <v>68</v>
      </c>
      <c r="F5" s="8"/>
      <c r="G5" s="8" t="s">
        <v>83</v>
      </c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</row>
  </sheetData>
  <dataValidations count="2">
    <dataValidation allowBlank="true" error="Pick from: Adar, Partner, Both, Child 1, Child 2, System…" errorStyle="stop" errorTitle="Invalid Owner" operator="between" showDropDown="false" showErrorMessage="false" showInputMessage="false" sqref="C2:C1000" type="list">
      <formula1>Lists!$B$3:$B$8</formula1>
      <formula2>0</formula2>
    </dataValidation>
    <dataValidation allowBlank="true" error="Pick from: Read, Write, Read-Write, Disabled…" errorStyle="stop" errorTitle="Invalid SyncDir" operator="between" showDropDown="false" showErrorMessage="false" showInputMessage="false" sqref="E2:E1000" type="list">
      <formula1>Lists!$H$3:$H$6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8"/>
    <col collapsed="false" customWidth="true" hidden="false" outlineLevel="0" max="4" min="4" style="1" width="34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28"/>
  </cols>
  <sheetData>
    <row r="1" customFormat="false" ht="27.75" hidden="false" customHeight="true" outlineLevel="0" collapsed="false">
      <c r="A1" s="11" t="s">
        <v>84</v>
      </c>
      <c r="B1" s="11" t="s">
        <v>85</v>
      </c>
      <c r="C1" s="11" t="s">
        <v>86</v>
      </c>
      <c r="D1" s="11" t="s">
        <v>87</v>
      </c>
      <c r="E1" s="11" t="s">
        <v>60</v>
      </c>
      <c r="F1" s="11" t="s">
        <v>59</v>
      </c>
      <c r="G1" s="11" t="s">
        <v>88</v>
      </c>
      <c r="H1" s="11" t="s">
        <v>39</v>
      </c>
    </row>
    <row r="2" customFormat="false" ht="15" hidden="false" customHeight="true" outlineLevel="0" collapsed="false">
      <c r="A2" s="12" t="n">
        <v>46171</v>
      </c>
      <c r="B2" s="13" t="s">
        <v>89</v>
      </c>
      <c r="C2" s="13" t="s">
        <v>90</v>
      </c>
      <c r="D2" s="13" t="s">
        <v>91</v>
      </c>
      <c r="E2" s="13" t="s">
        <v>77</v>
      </c>
      <c r="F2" s="13" t="s">
        <v>92</v>
      </c>
      <c r="G2" s="13" t="s">
        <v>93</v>
      </c>
      <c r="H2" s="13"/>
    </row>
    <row r="3" customFormat="false" ht="15" hidden="false" customHeight="true" outlineLevel="0" collapsed="false">
      <c r="A3" s="12" t="n">
        <v>46176</v>
      </c>
      <c r="B3" s="13"/>
      <c r="C3" s="13"/>
      <c r="D3" s="13" t="s">
        <v>94</v>
      </c>
      <c r="E3" s="13" t="s">
        <v>77</v>
      </c>
      <c r="F3" s="13" t="s">
        <v>92</v>
      </c>
      <c r="G3" s="13" t="s">
        <v>95</v>
      </c>
      <c r="H3" s="13" t="s">
        <v>96</v>
      </c>
    </row>
    <row r="4" customFormat="false" ht="15" hidden="false" customHeight="true" outlineLevel="0" collapsed="false">
      <c r="A4" s="12" t="n">
        <v>46179</v>
      </c>
      <c r="B4" s="13" t="s">
        <v>97</v>
      </c>
      <c r="C4" s="13" t="s">
        <v>98</v>
      </c>
      <c r="D4" s="13" t="s">
        <v>99</v>
      </c>
      <c r="E4" s="13" t="s">
        <v>66</v>
      </c>
      <c r="F4" s="13" t="s">
        <v>71</v>
      </c>
      <c r="G4" s="13" t="s">
        <v>100</v>
      </c>
      <c r="H4" s="13" t="s">
        <v>101</v>
      </c>
    </row>
    <row r="5" customFormat="false" ht="15" hidden="false" customHeight="true" outlineLevel="0" collapsed="false">
      <c r="A5" s="12" t="n">
        <v>46183</v>
      </c>
      <c r="B5" s="13"/>
      <c r="C5" s="13"/>
      <c r="D5" s="13" t="s">
        <v>102</v>
      </c>
      <c r="E5" s="13" t="s">
        <v>66</v>
      </c>
      <c r="F5" s="13" t="s">
        <v>103</v>
      </c>
      <c r="G5" s="13" t="s">
        <v>104</v>
      </c>
      <c r="H5" s="13" t="s">
        <v>105</v>
      </c>
    </row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</sheetData>
  <conditionalFormatting sqref="A2:H1000">
    <cfRule type="expression" priority="2" aboveAverage="0" equalAverage="0" bottom="0" percent="0" rank="0" text="" dxfId="0">
      <formula>$A2=TODAY()</formula>
    </cfRule>
    <cfRule type="expression" priority="3" aboveAverage="0" equalAverage="0" bottom="0" percent="0" rank="0" text="" dxfId="1">
      <formula>AND(ISNUMBER($A2),$A2&lt;TODAY())</formula>
    </cfRule>
  </conditionalFormatting>
  <dataValidations count="2">
    <dataValidation allowBlank="true" errorStyle="stop" operator="between" showDropDown="false" showErrorMessage="false" showInputMessage="false" sqref="E2:E1000" type="list">
      <formula1>Lists!$B$3:$B$8</formula1>
      <formula2>0</formula2>
    </dataValidation>
    <dataValidation allowBlank="true" errorStyle="stop" operator="between" showDropDown="false" showErrorMessage="false" showInputMessage="false" sqref="F2:F1000" type="list">
      <formula1>"Google,iCloud,Manual,System,Other"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2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36"/>
    <col collapsed="false" customWidth="true" hidden="false" outlineLevel="0" max="11" min="11" style="1" width="12"/>
    <col collapsed="false" customWidth="true" hidden="false" outlineLevel="0" max="12" min="12" style="1" width="14"/>
  </cols>
  <sheetData>
    <row r="1" customFormat="false" ht="27.75" hidden="false" customHeight="true" outlineLevel="0" collapsed="false">
      <c r="A1" s="7" t="s">
        <v>87</v>
      </c>
      <c r="B1" s="7" t="s">
        <v>106</v>
      </c>
      <c r="C1" s="7" t="s">
        <v>60</v>
      </c>
      <c r="D1" s="7" t="s">
        <v>107</v>
      </c>
      <c r="E1" s="7" t="s">
        <v>108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39</v>
      </c>
      <c r="K1" s="14" t="s">
        <v>113</v>
      </c>
      <c r="L1" s="14" t="s">
        <v>114</v>
      </c>
    </row>
    <row r="2" customFormat="false" ht="36" hidden="false" customHeight="true" outlineLevel="0" collapsed="false">
      <c r="A2" s="8" t="s">
        <v>115</v>
      </c>
      <c r="B2" s="8" t="s">
        <v>116</v>
      </c>
      <c r="C2" s="8" t="s">
        <v>66</v>
      </c>
      <c r="D2" s="9" t="n">
        <v>46310</v>
      </c>
      <c r="E2" s="8" t="s">
        <v>117</v>
      </c>
      <c r="F2" s="8" t="s">
        <v>118</v>
      </c>
      <c r="G2" s="8" t="s">
        <v>119</v>
      </c>
      <c r="H2" s="8"/>
      <c r="I2" s="8" t="s">
        <v>120</v>
      </c>
      <c r="J2" s="8" t="s">
        <v>121</v>
      </c>
      <c r="K2" s="1" t="n">
        <f aca="true">IF(ISNUMBER(D2),D2-TODAY(),"")</f>
        <v>141</v>
      </c>
      <c r="L2" s="1" t="str">
        <f aca="true">IF(G2="Done","",IF(NOT(ISNUMBER(D2)),"",IF(D2&lt;TODAY(),"OVERDUE",IF(D2-TODAY()&lt;=1,"FIRE TODAY",IF(D2-TODAY()&lt;=7,"WEEK OUT",IF(D2-TODAY()&lt;=30,"MONTH OUT",""))))))</f>
        <v/>
      </c>
    </row>
    <row r="3" customFormat="false" ht="36" hidden="false" customHeight="true" outlineLevel="0" collapsed="false">
      <c r="A3" s="8" t="s">
        <v>122</v>
      </c>
      <c r="B3" s="8" t="s">
        <v>116</v>
      </c>
      <c r="C3" s="8" t="s">
        <v>66</v>
      </c>
      <c r="D3" s="9" t="n">
        <v>46327</v>
      </c>
      <c r="E3" s="8" t="s">
        <v>123</v>
      </c>
      <c r="F3" s="8" t="s">
        <v>118</v>
      </c>
      <c r="G3" s="8" t="s">
        <v>119</v>
      </c>
      <c r="H3" s="8"/>
      <c r="I3" s="8" t="s">
        <v>120</v>
      </c>
      <c r="J3" s="8" t="s">
        <v>124</v>
      </c>
      <c r="K3" s="1" t="n">
        <f aca="true">IF(ISNUMBER(D3),D3-TODAY(),"")</f>
        <v>158</v>
      </c>
      <c r="L3" s="1" t="str">
        <f aca="true">IF(G3="Done","",IF(NOT(ISNUMBER(D3)),"",IF(D3&lt;TODAY(),"OVERDUE",IF(D3-TODAY()&lt;=1,"FIRE TODAY",IF(D3-TODAY()&lt;=7,"WEEK OUT",IF(D3-TODAY()&lt;=30,"MONTH OUT",""))))))</f>
        <v/>
      </c>
    </row>
    <row r="4" customFormat="false" ht="36" hidden="false" customHeight="true" outlineLevel="0" collapsed="false">
      <c r="A4" s="8" t="s">
        <v>125</v>
      </c>
      <c r="B4" s="8" t="s">
        <v>126</v>
      </c>
      <c r="C4" s="8" t="s">
        <v>66</v>
      </c>
      <c r="D4" s="9" t="n">
        <v>46249</v>
      </c>
      <c r="E4" s="8" t="s">
        <v>127</v>
      </c>
      <c r="F4" s="8" t="s">
        <v>128</v>
      </c>
      <c r="G4" s="8" t="s">
        <v>119</v>
      </c>
      <c r="H4" s="8"/>
      <c r="I4" s="8" t="s">
        <v>120</v>
      </c>
      <c r="J4" s="8"/>
      <c r="K4" s="1" t="n">
        <f aca="true">IF(ISNUMBER(D4),D4-TODAY(),"")</f>
        <v>80</v>
      </c>
      <c r="L4" s="1" t="str">
        <f aca="true">IF(G4="Done","",IF(NOT(ISNUMBER(D4)),"",IF(D4&lt;TODAY(),"OVERDUE",IF(D4-TODAY()&lt;=1,"FIRE TODAY",IF(D4-TODAY()&lt;=7,"WEEK OUT",IF(D4-TODAY()&lt;=30,"MONTH OUT",""))))))</f>
        <v/>
      </c>
    </row>
    <row r="5" customFormat="false" ht="36" hidden="false" customHeight="true" outlineLevel="0" collapsed="false">
      <c r="A5" s="8" t="s">
        <v>129</v>
      </c>
      <c r="B5" s="8" t="s">
        <v>126</v>
      </c>
      <c r="C5" s="8" t="s">
        <v>72</v>
      </c>
      <c r="D5" s="9" t="n">
        <v>46275</v>
      </c>
      <c r="E5" s="8" t="s">
        <v>127</v>
      </c>
      <c r="F5" s="8" t="s">
        <v>128</v>
      </c>
      <c r="G5" s="8" t="s">
        <v>119</v>
      </c>
      <c r="H5" s="8"/>
      <c r="I5" s="8" t="s">
        <v>120</v>
      </c>
      <c r="J5" s="8"/>
      <c r="K5" s="1" t="n">
        <f aca="true">IF(ISNUMBER(D5),D5-TODAY(),"")</f>
        <v>106</v>
      </c>
      <c r="L5" s="1" t="str">
        <f aca="true">IF(G5="Done","",IF(NOT(ISNUMBER(D5)),"",IF(D5&lt;TODAY(),"OVERDUE",IF(D5-TODAY()&lt;=1,"FIRE TODAY",IF(D5-TODAY()&lt;=7,"WEEK OUT",IF(D5-TODAY()&lt;=30,"MONTH OUT",""))))))</f>
        <v/>
      </c>
    </row>
    <row r="6" customFormat="false" ht="36" hidden="false" customHeight="true" outlineLevel="0" collapsed="false">
      <c r="A6" s="8" t="s">
        <v>130</v>
      </c>
      <c r="B6" s="8" t="s">
        <v>131</v>
      </c>
      <c r="C6" s="8" t="s">
        <v>77</v>
      </c>
      <c r="D6" s="9" t="n">
        <v>46371</v>
      </c>
      <c r="E6" s="8" t="s">
        <v>132</v>
      </c>
      <c r="F6" s="8" t="s">
        <v>133</v>
      </c>
      <c r="G6" s="8" t="s">
        <v>119</v>
      </c>
      <c r="H6" s="8"/>
      <c r="I6" s="8" t="s">
        <v>120</v>
      </c>
      <c r="J6" s="8" t="s">
        <v>134</v>
      </c>
      <c r="K6" s="1" t="n">
        <f aca="true">IF(ISNUMBER(D6),D6-TODAY(),"")</f>
        <v>202</v>
      </c>
      <c r="L6" s="1" t="str">
        <f aca="true">IF(G6="Done","",IF(NOT(ISNUMBER(D6)),"",IF(D6&lt;TODAY(),"OVERDUE",IF(D6-TODAY()&lt;=1,"FIRE TODAY",IF(D6-TODAY()&lt;=7,"WEEK OUT",IF(D6-TODAY()&lt;=30,"MONTH OUT",""))))))</f>
        <v/>
      </c>
    </row>
    <row r="7" customFormat="false" ht="36" hidden="false" customHeight="true" outlineLevel="0" collapsed="false">
      <c r="A7" s="8" t="s">
        <v>135</v>
      </c>
      <c r="B7" s="8" t="s">
        <v>131</v>
      </c>
      <c r="C7" s="8" t="s">
        <v>77</v>
      </c>
      <c r="D7" s="9" t="n">
        <v>46346</v>
      </c>
      <c r="E7" s="8" t="s">
        <v>136</v>
      </c>
      <c r="F7" s="8" t="s">
        <v>137</v>
      </c>
      <c r="G7" s="8" t="s">
        <v>119</v>
      </c>
      <c r="H7" s="8"/>
      <c r="I7" s="8" t="s">
        <v>120</v>
      </c>
      <c r="J7" s="8"/>
      <c r="K7" s="1" t="n">
        <f aca="true">IF(ISNUMBER(D7),D7-TODAY(),"")</f>
        <v>177</v>
      </c>
      <c r="L7" s="1" t="str">
        <f aca="true">IF(G7="Done","",IF(NOT(ISNUMBER(D7)),"",IF(D7&lt;TODAY(),"OVERDUE",IF(D7-TODAY()&lt;=1,"FIRE TODAY",IF(D7-TODAY()&lt;=7,"WEEK OUT",IF(D7-TODAY()&lt;=30,"MONTH OUT",""))))))</f>
        <v/>
      </c>
    </row>
    <row r="8" customFormat="false" ht="36" hidden="false" customHeight="true" outlineLevel="0" collapsed="false">
      <c r="A8" s="8" t="s">
        <v>102</v>
      </c>
      <c r="B8" s="8" t="s">
        <v>138</v>
      </c>
      <c r="C8" s="8" t="s">
        <v>66</v>
      </c>
      <c r="D8" s="9" t="n">
        <v>46203</v>
      </c>
      <c r="E8" s="8" t="s">
        <v>139</v>
      </c>
      <c r="F8" s="8" t="s">
        <v>140</v>
      </c>
      <c r="G8" s="8" t="s">
        <v>119</v>
      </c>
      <c r="H8" s="8"/>
      <c r="I8" s="8" t="s">
        <v>120</v>
      </c>
      <c r="J8" s="8" t="s">
        <v>141</v>
      </c>
      <c r="K8" s="1" t="n">
        <f aca="true">IF(ISNUMBER(D8),D8-TODAY(),"")</f>
        <v>34</v>
      </c>
      <c r="L8" s="1" t="str">
        <f aca="true">IF(G8="Done","",IF(NOT(ISNUMBER(D8)),"",IF(D8&lt;TODAY(),"OVERDUE",IF(D8-TODAY()&lt;=1,"FIRE TODAY",IF(D8-TODAY()&lt;=7,"WEEK OUT",IF(D8-TODAY()&lt;=30,"MONTH OUT",""))))))</f>
        <v/>
      </c>
    </row>
    <row r="9" customFormat="false" ht="36" hidden="false" customHeight="true" outlineLevel="0" collapsed="false">
      <c r="A9" s="8" t="s">
        <v>142</v>
      </c>
      <c r="B9" s="8" t="s">
        <v>138</v>
      </c>
      <c r="C9" s="8" t="s">
        <v>66</v>
      </c>
      <c r="D9" s="9" t="n">
        <v>46266</v>
      </c>
      <c r="E9" s="8" t="s">
        <v>143</v>
      </c>
      <c r="F9" s="8" t="s">
        <v>118</v>
      </c>
      <c r="G9" s="8" t="s">
        <v>119</v>
      </c>
      <c r="H9" s="8"/>
      <c r="I9" s="8" t="s">
        <v>120</v>
      </c>
      <c r="J9" s="8"/>
      <c r="K9" s="1" t="n">
        <f aca="true">IF(ISNUMBER(D9),D9-TODAY(),"")</f>
        <v>97</v>
      </c>
      <c r="L9" s="1" t="str">
        <f aca="true">IF(G9="Done","",IF(NOT(ISNUMBER(D9)),"",IF(D9&lt;TODAY(),"OVERDUE",IF(D9-TODAY()&lt;=1,"FIRE TODAY",IF(D9-TODAY()&lt;=7,"WEEK OUT",IF(D9-TODAY()&lt;=30,"MONTH OUT",""))))))</f>
        <v/>
      </c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</row>
  </sheetData>
  <conditionalFormatting sqref="G2:G100">
    <cfRule type="cellIs" priority="2" operator="equal" aboveAverage="0" equalAverage="0" bottom="0" percent="0" rank="0" text="" dxfId="2">
      <formula>"Done"</formula>
    </cfRule>
    <cfRule type="cellIs" priority="3" operator="equal" aboveAverage="0" equalAverage="0" bottom="0" percent="0" rank="0" text="" dxfId="3">
      <formula>"Overdue"</formula>
    </cfRule>
  </conditionalFormatting>
  <conditionalFormatting sqref="D2:D1000">
    <cfRule type="expression" priority="4" aboveAverage="0" equalAverage="0" bottom="0" percent="0" rank="0" text="" dxfId="4">
      <formula>AND(ISNUMBER(D2),D2&lt;TODAY())</formula>
    </cfRule>
    <cfRule type="expression" priority="5" aboveAverage="0" equalAverage="0" bottom="0" percent="0" rank="0" text="" dxfId="0">
      <formula>AND(ISNUMBER(D2),D2-TODAY()&gt;=0,D2-TODAY()&lt;=7)</formula>
    </cfRule>
    <cfRule type="expression" priority="6" aboveAverage="0" equalAverage="0" bottom="0" percent="0" rank="0" text="" dxfId="2">
      <formula>AND(ISNUMBER(D2),D2-TODAY()&gt;7,D2-TODAY()&lt;=30)</formula>
    </cfRule>
  </conditionalFormatting>
  <conditionalFormatting sqref="A2:J1000">
    <cfRule type="expression" priority="7" aboveAverage="0" equalAverage="0" bottom="0" percent="0" rank="0" text="" dxfId="1">
      <formula>$G2="Done"</formula>
    </cfRule>
  </conditionalFormatting>
  <conditionalFormatting sqref="L2:L1000">
    <cfRule type="expression" priority="8" aboveAverage="0" equalAverage="0" bottom="0" percent="0" rank="0" text="" dxfId="5">
      <formula>$L2="OVERDUE"</formula>
    </cfRule>
    <cfRule type="expression" priority="9" aboveAverage="0" equalAverage="0" bottom="0" percent="0" rank="0" text="" dxfId="4">
      <formula>$L2="FIRE TODAY"</formula>
    </cfRule>
    <cfRule type="expression" priority="10" aboveAverage="0" equalAverage="0" bottom="0" percent="0" rank="0" text="" dxfId="0">
      <formula>$L2="WEEK OUT"</formula>
    </cfRule>
    <cfRule type="expression" priority="11" aboveAverage="0" equalAverage="0" bottom="0" percent="0" rank="0" text="" dxfId="2">
      <formula>$L2="MONTH OUT"</formula>
    </cfRule>
  </conditionalFormatting>
  <dataValidations count="5">
    <dataValidation allowBlank="true" error="Pick from: Calendar, Finance, Goals, Education, Health, Car…" errorStyle="stop" errorTitle="Invalid Domain" operator="between" showDropDown="false" showErrorMessage="false" showInputMessage="false" sqref="B2:B1000" type="list">
      <formula1>Lists!$A$3:$A$12</formula1>
      <formula2>0</formula2>
    </dataValidation>
    <dataValidation allowBlank="true" error="Pick from: Adar, Partner, Both, Child 1, Child 2, System…" errorStyle="stop" errorTitle="Invalid Owner" operator="between" showDropDown="false" showErrorMessage="false" showInputMessage="false" sqref="C2:C1000" type="list">
      <formula1>Lists!$B$3:$B$8</formula1>
      <formula2>0</formula2>
    </dataValidation>
    <dataValidation allowBlank="true" error="Pick from: One-off, Daily, Weekly, Monthly, Quarterly, Yearly…" errorStyle="stop" errorTitle="Invalid Recurrence" operator="between" showDropDown="false" showErrorMessage="false" showInputMessage="false" sqref="F2:F1000" type="list">
      <formula1>Lists!$E$3:$E$9</formula1>
      <formula2>0</formula2>
    </dataValidation>
    <dataValidation allowBlank="true" error="Pick from: Pending, Snoozed, Sent, Done, Skipped, Overdue…" errorStyle="stop" errorTitle="Invalid Status" operator="between" showDropDown="false" showErrorMessage="false" showInputMessage="false" sqref="G2:G1000" type="list">
      <formula1>Lists!$C$3:$C$8</formula1>
      <formula2>0</formula2>
    </dataValidation>
    <dataValidation allowBlank="true" error="Pick from: WhatsApp, Email, None…" errorStyle="stop" errorTitle="Invalid Channel" operator="between" showDropDown="false" showErrorMessage="false" showInputMessage="false" sqref="I2:I1000" type="list">
      <formula1>Lists!$D$3:$D$5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7" min="4" style="1" width="16"/>
    <col collapsed="false" customWidth="true" hidden="false" outlineLevel="0" max="8" min="8" style="1" width="18"/>
    <col collapsed="false" customWidth="true" hidden="false" outlineLevel="0" max="9" min="9" style="1" width="26"/>
  </cols>
  <sheetData>
    <row r="1" customFormat="false" ht="27.75" hidden="false" customHeight="true" outlineLevel="0" collapsed="false">
      <c r="A1" s="7" t="s">
        <v>144</v>
      </c>
      <c r="B1" s="7" t="s">
        <v>145</v>
      </c>
      <c r="C1" s="7" t="s">
        <v>146</v>
      </c>
      <c r="D1" s="7" t="s">
        <v>147</v>
      </c>
      <c r="E1" s="7" t="s">
        <v>60</v>
      </c>
      <c r="F1" s="7" t="s">
        <v>148</v>
      </c>
      <c r="G1" s="7" t="s">
        <v>149</v>
      </c>
      <c r="H1" s="7" t="s">
        <v>150</v>
      </c>
      <c r="I1" s="7" t="s">
        <v>39</v>
      </c>
    </row>
    <row r="2" customFormat="false" ht="36" hidden="false" customHeight="true" outlineLevel="0" collapsed="false">
      <c r="A2" s="8" t="s">
        <v>151</v>
      </c>
      <c r="B2" s="8" t="s">
        <v>152</v>
      </c>
      <c r="C2" s="8" t="s">
        <v>153</v>
      </c>
      <c r="D2" s="8" t="s">
        <v>154</v>
      </c>
      <c r="E2" s="8" t="s">
        <v>77</v>
      </c>
      <c r="F2" s="8" t="s">
        <v>155</v>
      </c>
      <c r="G2" s="8"/>
      <c r="H2" s="8"/>
      <c r="I2" s="8" t="s">
        <v>156</v>
      </c>
    </row>
    <row r="3" customFormat="false" ht="36" hidden="false" customHeight="true" outlineLevel="0" collapsed="false">
      <c r="A3" s="8" t="s">
        <v>157</v>
      </c>
      <c r="B3" s="8" t="s">
        <v>158</v>
      </c>
      <c r="C3" s="8" t="s">
        <v>153</v>
      </c>
      <c r="D3" s="8" t="s">
        <v>159</v>
      </c>
      <c r="E3" s="8" t="s">
        <v>66</v>
      </c>
      <c r="F3" s="8" t="s">
        <v>155</v>
      </c>
      <c r="G3" s="8"/>
      <c r="H3" s="8"/>
      <c r="I3" s="8"/>
    </row>
    <row r="4" customFormat="false" ht="36" hidden="false" customHeight="true" outlineLevel="0" collapsed="false">
      <c r="A4" s="8" t="s">
        <v>160</v>
      </c>
      <c r="B4" s="8" t="s">
        <v>161</v>
      </c>
      <c r="C4" s="8" t="s">
        <v>162</v>
      </c>
      <c r="D4" s="8" t="s">
        <v>163</v>
      </c>
      <c r="E4" s="8" t="s">
        <v>66</v>
      </c>
      <c r="F4" s="8" t="s">
        <v>155</v>
      </c>
      <c r="G4" s="8"/>
      <c r="H4" s="8"/>
      <c r="I4" s="8"/>
    </row>
    <row r="5" customFormat="false" ht="36" hidden="false" customHeight="true" outlineLevel="0" collapsed="false">
      <c r="A5" s="8" t="s">
        <v>164</v>
      </c>
      <c r="B5" s="8" t="s">
        <v>161</v>
      </c>
      <c r="C5" s="8" t="s">
        <v>165</v>
      </c>
      <c r="D5" s="8" t="s">
        <v>166</v>
      </c>
      <c r="E5" s="8" t="s">
        <v>72</v>
      </c>
      <c r="F5" s="8" t="s">
        <v>155</v>
      </c>
      <c r="G5" s="8"/>
      <c r="H5" s="8"/>
      <c r="I5" s="8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</row>
  </sheetData>
  <dataValidations count="3">
    <dataValidation allowBlank="true" error="Pick from: Checking, Savings, Credit Card, Investment, Loan, Other…" errorStyle="stop" errorTitle="Invalid AcctType" operator="between" showDropDown="false" showErrorMessage="false" showInputMessage="false" sqref="B2:B1000" type="list">
      <formula1>Lists!$G$3:$G$8</formula1>
      <formula2>0</formula2>
    </dataValidation>
    <dataValidation allowBlank="true" error="Pick from: Adar, Partner, Both, Child 1, Child 2, System…" errorStyle="stop" errorTitle="Invalid Owner" operator="between" showDropDown="false" showErrorMessage="false" showInputMessage="false" sqref="E2:E1000" type="list">
      <formula1>Lists!$B$3:$B$8</formula1>
      <formula2>0</formula2>
    </dataValidation>
    <dataValidation allowBlank="true" error="Pick from: ILS, USD, EUR, GBP…" errorStyle="stop" errorTitle="Invalid Currency" operator="between" showDropDown="false" showErrorMessage="false" showInputMessage="false" sqref="F2:F1000" type="list">
      <formula1>Lists!$F$3:$F$6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4"/>
    <col collapsed="false" customWidth="true" hidden="false" outlineLevel="0" max="7" min="5" style="1" width="16"/>
    <col collapsed="false" customWidth="true" hidden="false" outlineLevel="0" max="8" min="8" style="1" width="22"/>
    <col collapsed="false" customWidth="true" hidden="false" outlineLevel="0" max="9" min="9" style="1" width="24"/>
  </cols>
  <sheetData>
    <row r="1" customFormat="false" ht="27.75" hidden="false" customHeight="true" outlineLevel="0" collapsed="false">
      <c r="A1" s="7" t="s">
        <v>84</v>
      </c>
      <c r="B1" s="7" t="s">
        <v>167</v>
      </c>
      <c r="C1" s="7" t="s">
        <v>168</v>
      </c>
      <c r="D1" s="7" t="s">
        <v>169</v>
      </c>
      <c r="E1" s="7" t="s">
        <v>170</v>
      </c>
      <c r="F1" s="7" t="s">
        <v>171</v>
      </c>
      <c r="G1" s="7" t="s">
        <v>172</v>
      </c>
      <c r="H1" s="7" t="s">
        <v>173</v>
      </c>
      <c r="I1" s="7" t="s">
        <v>39</v>
      </c>
    </row>
    <row r="2" customFormat="false" ht="36" hidden="false" customHeight="true" outlineLevel="0" collapsed="false">
      <c r="A2" s="9" t="n">
        <v>46152</v>
      </c>
      <c r="B2" s="8" t="s">
        <v>151</v>
      </c>
      <c r="C2" s="8" t="s">
        <v>174</v>
      </c>
      <c r="D2" s="15" t="n">
        <v>-432.5</v>
      </c>
      <c r="E2" s="8" t="s">
        <v>175</v>
      </c>
      <c r="F2" s="8" t="s">
        <v>176</v>
      </c>
      <c r="G2" s="8" t="s">
        <v>177</v>
      </c>
      <c r="H2" s="8" t="s">
        <v>178</v>
      </c>
      <c r="I2" s="8" t="s">
        <v>179</v>
      </c>
    </row>
    <row r="3" customFormat="false" ht="36" hidden="false" customHeight="true" outlineLevel="0" collapsed="false">
      <c r="A3" s="9" t="n">
        <v>46154</v>
      </c>
      <c r="B3" s="8" t="s">
        <v>160</v>
      </c>
      <c r="C3" s="8" t="s">
        <v>180</v>
      </c>
      <c r="D3" s="15" t="n">
        <v>-280</v>
      </c>
      <c r="E3" s="8" t="s">
        <v>181</v>
      </c>
      <c r="F3" s="8" t="s">
        <v>182</v>
      </c>
      <c r="G3" s="8" t="s">
        <v>183</v>
      </c>
      <c r="H3" s="8" t="s">
        <v>184</v>
      </c>
      <c r="I3" s="8"/>
    </row>
    <row r="4" customFormat="false" ht="36" hidden="false" customHeight="true" outlineLevel="0" collapsed="false">
      <c r="A4" s="9" t="n">
        <v>46157</v>
      </c>
      <c r="B4" s="8" t="s">
        <v>151</v>
      </c>
      <c r="C4" s="8" t="s">
        <v>185</v>
      </c>
      <c r="D4" s="15" t="n">
        <v>-6800</v>
      </c>
      <c r="E4" s="8" t="s">
        <v>186</v>
      </c>
      <c r="F4" s="8" t="s">
        <v>187</v>
      </c>
      <c r="G4" s="8" t="s">
        <v>188</v>
      </c>
      <c r="H4" s="8" t="s">
        <v>178</v>
      </c>
      <c r="I4" s="8"/>
    </row>
    <row r="5" customFormat="false" ht="36" hidden="false" customHeight="true" outlineLevel="0" collapsed="false">
      <c r="A5" s="9" t="n">
        <v>46162</v>
      </c>
      <c r="B5" s="8" t="s">
        <v>151</v>
      </c>
      <c r="C5" s="8" t="s">
        <v>189</v>
      </c>
      <c r="D5" s="15" t="n">
        <v>28500</v>
      </c>
      <c r="E5" s="8" t="s">
        <v>190</v>
      </c>
      <c r="F5" s="8" t="s">
        <v>191</v>
      </c>
      <c r="G5" s="8" t="s">
        <v>192</v>
      </c>
      <c r="H5" s="8" t="s">
        <v>178</v>
      </c>
      <c r="I5" s="8"/>
    </row>
    <row r="6" customFormat="false" ht="15" hidden="false" customHeight="true" outlineLevel="0" collapsed="false">
      <c r="A6" s="10"/>
      <c r="B6" s="10"/>
      <c r="C6" s="10"/>
      <c r="D6" s="16"/>
      <c r="E6" s="10"/>
      <c r="F6" s="10"/>
      <c r="G6" s="10"/>
      <c r="H6" s="10"/>
      <c r="I6" s="10"/>
    </row>
    <row r="7" customFormat="false" ht="15" hidden="false" customHeight="true" outlineLevel="0" collapsed="false">
      <c r="A7" s="10"/>
      <c r="B7" s="10"/>
      <c r="C7" s="10"/>
      <c r="D7" s="16"/>
      <c r="E7" s="10"/>
      <c r="F7" s="10"/>
      <c r="G7" s="10"/>
      <c r="H7" s="10"/>
      <c r="I7" s="10"/>
    </row>
    <row r="8" customFormat="false" ht="15" hidden="false" customHeight="true" outlineLevel="0" collapsed="false">
      <c r="A8" s="10"/>
      <c r="B8" s="10"/>
      <c r="C8" s="10"/>
      <c r="D8" s="16"/>
      <c r="E8" s="10"/>
      <c r="F8" s="10"/>
      <c r="G8" s="10"/>
      <c r="H8" s="10"/>
      <c r="I8" s="10"/>
    </row>
    <row r="9" customFormat="false" ht="15" hidden="false" customHeight="true" outlineLevel="0" collapsed="false">
      <c r="A9" s="10"/>
      <c r="B9" s="10"/>
      <c r="C9" s="10"/>
      <c r="D9" s="16"/>
      <c r="E9" s="10"/>
      <c r="F9" s="10"/>
      <c r="G9" s="10"/>
      <c r="H9" s="10"/>
      <c r="I9" s="10"/>
    </row>
    <row r="10" customFormat="false" ht="15" hidden="false" customHeight="true" outlineLevel="0" collapsed="false">
      <c r="A10" s="10"/>
      <c r="B10" s="10"/>
      <c r="C10" s="10"/>
      <c r="D10" s="16"/>
      <c r="E10" s="10"/>
      <c r="F10" s="10"/>
      <c r="G10" s="10"/>
      <c r="H10" s="10"/>
      <c r="I10" s="10"/>
    </row>
    <row r="11" customFormat="false" ht="15" hidden="false" customHeight="true" outlineLevel="0" collapsed="false">
      <c r="A11" s="10"/>
      <c r="B11" s="10"/>
      <c r="C11" s="10"/>
      <c r="D11" s="16"/>
      <c r="E11" s="10"/>
      <c r="F11" s="10"/>
      <c r="G11" s="10"/>
      <c r="H11" s="10"/>
      <c r="I11" s="10"/>
    </row>
    <row r="12" customFormat="false" ht="15" hidden="false" customHeight="true" outlineLevel="0" collapsed="false">
      <c r="A12" s="10"/>
      <c r="B12" s="10"/>
      <c r="C12" s="10"/>
      <c r="D12" s="16"/>
      <c r="E12" s="10"/>
      <c r="F12" s="10"/>
      <c r="G12" s="10"/>
      <c r="H12" s="10"/>
      <c r="I12" s="10"/>
    </row>
    <row r="13" customFormat="false" ht="15" hidden="false" customHeight="true" outlineLevel="0" collapsed="false">
      <c r="A13" s="10"/>
      <c r="B13" s="10"/>
      <c r="C13" s="10"/>
      <c r="D13" s="16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10"/>
      <c r="B14" s="10"/>
      <c r="C14" s="10"/>
      <c r="D14" s="16"/>
      <c r="E14" s="10"/>
      <c r="F14" s="10"/>
      <c r="G14" s="10"/>
      <c r="H14" s="10"/>
      <c r="I14" s="10"/>
    </row>
    <row r="15" customFormat="false" ht="15" hidden="false" customHeight="true" outlineLevel="0" collapsed="false">
      <c r="A15" s="10"/>
      <c r="B15" s="10"/>
      <c r="C15" s="10"/>
      <c r="D15" s="16"/>
      <c r="E15" s="10"/>
      <c r="F15" s="10"/>
      <c r="G15" s="10"/>
      <c r="H15" s="10"/>
      <c r="I15" s="10"/>
    </row>
    <row r="16" customFormat="false" ht="15" hidden="false" customHeight="true" outlineLevel="0" collapsed="false">
      <c r="A16" s="10"/>
      <c r="B16" s="10"/>
      <c r="C16" s="10"/>
      <c r="D16" s="16"/>
      <c r="E16" s="10"/>
      <c r="F16" s="10"/>
      <c r="G16" s="10"/>
      <c r="H16" s="10"/>
      <c r="I16" s="10"/>
    </row>
    <row r="17" customFormat="false" ht="15" hidden="false" customHeight="true" outlineLevel="0" collapsed="false">
      <c r="A17" s="10"/>
      <c r="B17" s="10"/>
      <c r="C17" s="10"/>
      <c r="D17" s="16"/>
      <c r="E17" s="10"/>
      <c r="F17" s="10"/>
      <c r="G17" s="10"/>
      <c r="H17" s="10"/>
      <c r="I17" s="10"/>
    </row>
    <row r="18" customFormat="false" ht="15" hidden="false" customHeight="true" outlineLevel="0" collapsed="false">
      <c r="A18" s="10"/>
      <c r="B18" s="10"/>
      <c r="C18" s="10"/>
      <c r="D18" s="16"/>
      <c r="E18" s="10"/>
      <c r="F18" s="10"/>
      <c r="G18" s="10"/>
      <c r="H18" s="10"/>
      <c r="I18" s="10"/>
    </row>
    <row r="19" customFormat="false" ht="15" hidden="false" customHeight="true" outlineLevel="0" collapsed="false">
      <c r="A19" s="10"/>
      <c r="B19" s="10"/>
      <c r="C19" s="10"/>
      <c r="D19" s="16"/>
      <c r="E19" s="10"/>
      <c r="F19" s="10"/>
      <c r="G19" s="10"/>
      <c r="H19" s="10"/>
      <c r="I19" s="10"/>
    </row>
    <row r="20" customFormat="false" ht="15" hidden="false" customHeight="true" outlineLevel="0" collapsed="false">
      <c r="A20" s="10"/>
      <c r="B20" s="10"/>
      <c r="C20" s="10"/>
      <c r="D20" s="16"/>
      <c r="E20" s="10"/>
      <c r="F20" s="10"/>
      <c r="G20" s="10"/>
      <c r="H20" s="10"/>
      <c r="I20" s="10"/>
    </row>
    <row r="21" customFormat="false" ht="15" hidden="false" customHeight="true" outlineLevel="0" collapsed="false">
      <c r="A21" s="10"/>
      <c r="B21" s="10"/>
      <c r="C21" s="10"/>
      <c r="D21" s="16"/>
      <c r="E21" s="10"/>
      <c r="F21" s="10"/>
      <c r="G21" s="10"/>
      <c r="H21" s="10"/>
      <c r="I21" s="10"/>
    </row>
    <row r="22" customFormat="false" ht="15" hidden="false" customHeight="true" outlineLevel="0" collapsed="false">
      <c r="A22" s="10"/>
      <c r="B22" s="10"/>
      <c r="C22" s="10"/>
      <c r="D22" s="16"/>
      <c r="E22" s="10"/>
      <c r="F22" s="10"/>
      <c r="G22" s="10"/>
      <c r="H22" s="10"/>
      <c r="I22" s="10"/>
    </row>
    <row r="23" customFormat="false" ht="15" hidden="false" customHeight="true" outlineLevel="0" collapsed="false">
      <c r="A23" s="10"/>
      <c r="B23" s="10"/>
      <c r="C23" s="10"/>
      <c r="D23" s="16"/>
      <c r="E23" s="10"/>
      <c r="F23" s="10"/>
      <c r="G23" s="10"/>
      <c r="H23" s="10"/>
      <c r="I23" s="10"/>
    </row>
    <row r="24" customFormat="false" ht="15" hidden="false" customHeight="true" outlineLevel="0" collapsed="false">
      <c r="A24" s="10"/>
      <c r="B24" s="10"/>
      <c r="C24" s="10"/>
      <c r="D24" s="16"/>
      <c r="E24" s="10"/>
      <c r="F24" s="10"/>
      <c r="G24" s="10"/>
      <c r="H24" s="10"/>
      <c r="I24" s="10"/>
    </row>
    <row r="25" customFormat="false" ht="15" hidden="false" customHeight="true" outlineLevel="0" collapsed="false">
      <c r="A25" s="10"/>
      <c r="B25" s="10"/>
      <c r="C25" s="10"/>
      <c r="D25" s="16"/>
      <c r="E25" s="10"/>
      <c r="F25" s="10"/>
      <c r="G25" s="10"/>
      <c r="H25" s="10"/>
      <c r="I25" s="10"/>
    </row>
    <row r="26" customFormat="false" ht="15" hidden="false" customHeight="true" outlineLevel="0" collapsed="false">
      <c r="A26" s="10"/>
      <c r="B26" s="10"/>
      <c r="C26" s="10"/>
      <c r="D26" s="16"/>
      <c r="E26" s="10"/>
      <c r="F26" s="10"/>
      <c r="G26" s="10"/>
      <c r="H26" s="10"/>
      <c r="I26" s="10"/>
    </row>
    <row r="27" customFormat="false" ht="15" hidden="false" customHeight="true" outlineLevel="0" collapsed="false">
      <c r="A27" s="10"/>
      <c r="B27" s="10"/>
      <c r="C27" s="10"/>
      <c r="D27" s="16"/>
      <c r="E27" s="10"/>
      <c r="F27" s="10"/>
      <c r="G27" s="10"/>
      <c r="H27" s="10"/>
      <c r="I27" s="10"/>
    </row>
    <row r="28" customFormat="false" ht="15" hidden="false" customHeight="true" outlineLevel="0" collapsed="false">
      <c r="A28" s="10"/>
      <c r="B28" s="10"/>
      <c r="C28" s="10"/>
      <c r="D28" s="16"/>
      <c r="E28" s="10"/>
      <c r="F28" s="10"/>
      <c r="G28" s="10"/>
      <c r="H28" s="10"/>
      <c r="I28" s="10"/>
    </row>
    <row r="29" customFormat="false" ht="15" hidden="false" customHeight="true" outlineLevel="0" collapsed="false">
      <c r="A29" s="10"/>
      <c r="B29" s="10"/>
      <c r="C29" s="10"/>
      <c r="D29" s="16"/>
      <c r="E29" s="10"/>
      <c r="F29" s="10"/>
      <c r="G29" s="10"/>
      <c r="H29" s="10"/>
      <c r="I29" s="10"/>
    </row>
    <row r="30" customFormat="false" ht="15" hidden="false" customHeight="true" outlineLevel="0" collapsed="false">
      <c r="A30" s="10"/>
      <c r="B30" s="10"/>
      <c r="C30" s="10"/>
      <c r="D30" s="16"/>
      <c r="E30" s="10"/>
      <c r="F30" s="10"/>
      <c r="G30" s="10"/>
      <c r="H30" s="10"/>
      <c r="I30" s="10"/>
    </row>
    <row r="31" customFormat="false" ht="15" hidden="false" customHeight="true" outlineLevel="0" collapsed="false">
      <c r="A31" s="10"/>
      <c r="B31" s="10"/>
      <c r="C31" s="10"/>
      <c r="D31" s="16"/>
      <c r="E31" s="10"/>
      <c r="F31" s="10"/>
      <c r="G31" s="10"/>
      <c r="H31" s="10"/>
      <c r="I31" s="10"/>
    </row>
    <row r="32" customFormat="false" ht="15" hidden="false" customHeight="true" outlineLevel="0" collapsed="false">
      <c r="A32" s="10"/>
      <c r="B32" s="10"/>
      <c r="C32" s="10"/>
      <c r="D32" s="16"/>
      <c r="E32" s="10"/>
      <c r="F32" s="10"/>
      <c r="G32" s="10"/>
      <c r="H32" s="10"/>
      <c r="I32" s="10"/>
    </row>
    <row r="33" customFormat="false" ht="15" hidden="false" customHeight="true" outlineLevel="0" collapsed="false">
      <c r="A33" s="10"/>
      <c r="B33" s="10"/>
      <c r="C33" s="10"/>
      <c r="D33" s="16"/>
      <c r="E33" s="10"/>
      <c r="F33" s="10"/>
      <c r="G33" s="10"/>
      <c r="H33" s="10"/>
      <c r="I33" s="10"/>
    </row>
    <row r="34" customFormat="false" ht="15" hidden="false" customHeight="true" outlineLevel="0" collapsed="false">
      <c r="A34" s="10"/>
      <c r="B34" s="10"/>
      <c r="C34" s="10"/>
      <c r="D34" s="16"/>
      <c r="E34" s="10"/>
      <c r="F34" s="10"/>
      <c r="G34" s="10"/>
      <c r="H34" s="10"/>
      <c r="I34" s="10"/>
    </row>
    <row r="35" customFormat="false" ht="15" hidden="false" customHeight="true" outlineLevel="0" collapsed="false">
      <c r="A35" s="10"/>
      <c r="B35" s="10"/>
      <c r="C35" s="10"/>
      <c r="D35" s="16"/>
      <c r="E35" s="10"/>
      <c r="F35" s="10"/>
      <c r="G35" s="10"/>
      <c r="H35" s="10"/>
      <c r="I35" s="10"/>
    </row>
    <row r="36" customFormat="false" ht="15" hidden="false" customHeight="true" outlineLevel="0" collapsed="false">
      <c r="A36" s="10"/>
      <c r="B36" s="10"/>
      <c r="C36" s="10"/>
      <c r="D36" s="16"/>
      <c r="E36" s="10"/>
      <c r="F36" s="10"/>
      <c r="G36" s="10"/>
      <c r="H36" s="10"/>
      <c r="I36" s="10"/>
    </row>
    <row r="37" customFormat="false" ht="15" hidden="false" customHeight="true" outlineLevel="0" collapsed="false">
      <c r="A37" s="10"/>
      <c r="B37" s="10"/>
      <c r="C37" s="10"/>
      <c r="D37" s="16"/>
      <c r="E37" s="10"/>
      <c r="F37" s="10"/>
      <c r="G37" s="10"/>
      <c r="H37" s="10"/>
      <c r="I37" s="10"/>
    </row>
    <row r="38" customFormat="false" ht="15" hidden="false" customHeight="true" outlineLevel="0" collapsed="false">
      <c r="A38" s="10"/>
      <c r="B38" s="10"/>
      <c r="C38" s="10"/>
      <c r="D38" s="16"/>
      <c r="E38" s="10"/>
      <c r="F38" s="10"/>
      <c r="G38" s="10"/>
      <c r="H38" s="10"/>
      <c r="I38" s="10"/>
    </row>
    <row r="39" customFormat="false" ht="15" hidden="false" customHeight="true" outlineLevel="0" collapsed="false">
      <c r="A39" s="10"/>
      <c r="B39" s="10"/>
      <c r="C39" s="10"/>
      <c r="D39" s="16"/>
      <c r="E39" s="10"/>
      <c r="F39" s="10"/>
      <c r="G39" s="10"/>
      <c r="H39" s="10"/>
      <c r="I39" s="10"/>
    </row>
    <row r="40" customFormat="false" ht="15" hidden="false" customHeight="true" outlineLevel="0" collapsed="false">
      <c r="A40" s="10"/>
      <c r="B40" s="10"/>
      <c r="C40" s="10"/>
      <c r="D40" s="16"/>
      <c r="E40" s="10"/>
      <c r="F40" s="10"/>
      <c r="G40" s="10"/>
      <c r="H40" s="10"/>
      <c r="I40" s="10"/>
    </row>
    <row r="41" customFormat="false" ht="15" hidden="false" customHeight="true" outlineLevel="0" collapsed="false">
      <c r="A41" s="10"/>
      <c r="B41" s="10"/>
      <c r="C41" s="10"/>
      <c r="D41" s="16"/>
      <c r="E41" s="10"/>
      <c r="F41" s="10"/>
      <c r="G41" s="10"/>
      <c r="H41" s="10"/>
      <c r="I41" s="10"/>
    </row>
    <row r="42" customFormat="false" ht="15" hidden="false" customHeight="true" outlineLevel="0" collapsed="false">
      <c r="A42" s="10"/>
      <c r="B42" s="10"/>
      <c r="C42" s="10"/>
      <c r="D42" s="16"/>
      <c r="E42" s="10"/>
      <c r="F42" s="10"/>
      <c r="G42" s="10"/>
      <c r="H42" s="10"/>
      <c r="I42" s="10"/>
    </row>
    <row r="43" customFormat="false" ht="15" hidden="false" customHeight="true" outlineLevel="0" collapsed="false">
      <c r="A43" s="10"/>
      <c r="B43" s="10"/>
      <c r="C43" s="10"/>
      <c r="D43" s="16"/>
      <c r="E43" s="10"/>
      <c r="F43" s="10"/>
      <c r="G43" s="10"/>
      <c r="H43" s="10"/>
      <c r="I43" s="10"/>
    </row>
    <row r="44" customFormat="false" ht="15" hidden="false" customHeight="true" outlineLevel="0" collapsed="false">
      <c r="A44" s="10"/>
      <c r="B44" s="10"/>
      <c r="C44" s="10"/>
      <c r="D44" s="16"/>
      <c r="E44" s="10"/>
      <c r="F44" s="10"/>
      <c r="G44" s="10"/>
      <c r="H44" s="10"/>
      <c r="I44" s="10"/>
    </row>
    <row r="45" customFormat="false" ht="15" hidden="false" customHeight="true" outlineLevel="0" collapsed="false">
      <c r="A45" s="10"/>
      <c r="B45" s="10"/>
      <c r="C45" s="10"/>
      <c r="D45" s="16"/>
      <c r="E45" s="10"/>
      <c r="F45" s="10"/>
      <c r="G45" s="10"/>
      <c r="H45" s="10"/>
      <c r="I45" s="10"/>
    </row>
    <row r="46" customFormat="false" ht="15" hidden="false" customHeight="true" outlineLevel="0" collapsed="false">
      <c r="A46" s="10"/>
      <c r="B46" s="10"/>
      <c r="C46" s="10"/>
      <c r="D46" s="16"/>
      <c r="E46" s="10"/>
      <c r="F46" s="10"/>
      <c r="G46" s="10"/>
      <c r="H46" s="10"/>
      <c r="I46" s="10"/>
    </row>
    <row r="47" customFormat="false" ht="15" hidden="false" customHeight="true" outlineLevel="0" collapsed="false">
      <c r="A47" s="10"/>
      <c r="B47" s="10"/>
      <c r="C47" s="10"/>
      <c r="D47" s="16"/>
      <c r="E47" s="10"/>
      <c r="F47" s="10"/>
      <c r="G47" s="10"/>
      <c r="H47" s="10"/>
      <c r="I47" s="10"/>
    </row>
    <row r="48" customFormat="false" ht="15" hidden="false" customHeight="true" outlineLevel="0" collapsed="false">
      <c r="A48" s="10"/>
      <c r="B48" s="10"/>
      <c r="C48" s="10"/>
      <c r="D48" s="16"/>
      <c r="E48" s="10"/>
      <c r="F48" s="10"/>
      <c r="G48" s="10"/>
      <c r="H48" s="10"/>
      <c r="I48" s="10"/>
    </row>
    <row r="49" customFormat="false" ht="15" hidden="false" customHeight="true" outlineLevel="0" collapsed="false">
      <c r="A49" s="10"/>
      <c r="B49" s="10"/>
      <c r="C49" s="10"/>
      <c r="D49" s="16"/>
      <c r="E49" s="10"/>
      <c r="F49" s="10"/>
      <c r="G49" s="10"/>
      <c r="H49" s="10"/>
      <c r="I49" s="10"/>
    </row>
    <row r="50" customFormat="false" ht="15" hidden="false" customHeight="true" outlineLevel="0" collapsed="false">
      <c r="A50" s="10"/>
      <c r="B50" s="10"/>
      <c r="C50" s="10"/>
      <c r="D50" s="16"/>
      <c r="E50" s="10"/>
      <c r="F50" s="10"/>
      <c r="G50" s="10"/>
      <c r="H50" s="10"/>
      <c r="I50" s="10"/>
    </row>
    <row r="51" customFormat="false" ht="15" hidden="false" customHeight="true" outlineLevel="0" collapsed="false">
      <c r="A51" s="10"/>
      <c r="B51" s="10"/>
      <c r="C51" s="10"/>
      <c r="D51" s="16"/>
      <c r="E51" s="10"/>
      <c r="F51" s="10"/>
      <c r="G51" s="10"/>
      <c r="H51" s="10"/>
      <c r="I51" s="10"/>
    </row>
    <row r="52" customFormat="false" ht="15" hidden="false" customHeight="true" outlineLevel="0" collapsed="false">
      <c r="A52" s="10"/>
      <c r="B52" s="10"/>
      <c r="C52" s="10"/>
      <c r="D52" s="16"/>
      <c r="E52" s="10"/>
      <c r="F52" s="10"/>
      <c r="G52" s="10"/>
      <c r="H52" s="10"/>
      <c r="I52" s="10"/>
    </row>
    <row r="53" customFormat="false" ht="15" hidden="false" customHeight="true" outlineLevel="0" collapsed="false">
      <c r="A53" s="10"/>
      <c r="B53" s="10"/>
      <c r="C53" s="10"/>
      <c r="D53" s="16"/>
      <c r="E53" s="10"/>
      <c r="F53" s="10"/>
      <c r="G53" s="10"/>
      <c r="H53" s="10"/>
      <c r="I53" s="10"/>
    </row>
    <row r="54" customFormat="false" ht="15" hidden="false" customHeight="true" outlineLevel="0" collapsed="false">
      <c r="A54" s="10"/>
      <c r="B54" s="10"/>
      <c r="C54" s="10"/>
      <c r="D54" s="16"/>
      <c r="E54" s="10"/>
      <c r="F54" s="10"/>
      <c r="G54" s="10"/>
      <c r="H54" s="10"/>
      <c r="I54" s="10"/>
    </row>
    <row r="55" customFormat="false" ht="15" hidden="false" customHeight="true" outlineLevel="0" collapsed="false">
      <c r="A55" s="10"/>
      <c r="B55" s="10"/>
      <c r="C55" s="10"/>
      <c r="D55" s="16"/>
      <c r="E55" s="10"/>
      <c r="F55" s="10"/>
      <c r="G55" s="10"/>
      <c r="H55" s="10"/>
      <c r="I55" s="10"/>
    </row>
    <row r="56" customFormat="false" ht="15" hidden="false" customHeight="true" outlineLevel="0" collapsed="false">
      <c r="A56" s="10"/>
      <c r="B56" s="10"/>
      <c r="C56" s="10"/>
      <c r="D56" s="16"/>
      <c r="E56" s="10"/>
      <c r="F56" s="10"/>
      <c r="G56" s="10"/>
      <c r="H56" s="10"/>
      <c r="I56" s="10"/>
    </row>
    <row r="57" customFormat="false" ht="15" hidden="false" customHeight="true" outlineLevel="0" collapsed="false">
      <c r="A57" s="10"/>
      <c r="B57" s="10"/>
      <c r="C57" s="10"/>
      <c r="D57" s="16"/>
      <c r="E57" s="10"/>
      <c r="F57" s="10"/>
      <c r="G57" s="10"/>
      <c r="H57" s="10"/>
      <c r="I57" s="10"/>
    </row>
    <row r="58" customFormat="false" ht="15" hidden="false" customHeight="true" outlineLevel="0" collapsed="false">
      <c r="A58" s="10"/>
      <c r="B58" s="10"/>
      <c r="C58" s="10"/>
      <c r="D58" s="16"/>
      <c r="E58" s="10"/>
      <c r="F58" s="10"/>
      <c r="G58" s="10"/>
      <c r="H58" s="10"/>
      <c r="I58" s="10"/>
    </row>
    <row r="59" customFormat="false" ht="15" hidden="false" customHeight="true" outlineLevel="0" collapsed="false">
      <c r="A59" s="10"/>
      <c r="B59" s="10"/>
      <c r="C59" s="10"/>
      <c r="D59" s="16"/>
      <c r="E59" s="10"/>
      <c r="F59" s="10"/>
      <c r="G59" s="10"/>
      <c r="H59" s="10"/>
      <c r="I59" s="10"/>
    </row>
    <row r="60" customFormat="false" ht="15" hidden="false" customHeight="true" outlineLevel="0" collapsed="false">
      <c r="A60" s="10"/>
      <c r="B60" s="10"/>
      <c r="C60" s="10"/>
      <c r="D60" s="16"/>
      <c r="E60" s="10"/>
      <c r="F60" s="10"/>
      <c r="G60" s="10"/>
      <c r="H60" s="10"/>
      <c r="I60" s="10"/>
    </row>
    <row r="61" customFormat="false" ht="15" hidden="false" customHeight="true" outlineLevel="0" collapsed="false">
      <c r="A61" s="10"/>
      <c r="B61" s="10"/>
      <c r="C61" s="10"/>
      <c r="D61" s="16"/>
      <c r="E61" s="10"/>
      <c r="F61" s="10"/>
      <c r="G61" s="10"/>
      <c r="H61" s="10"/>
      <c r="I61" s="10"/>
    </row>
    <row r="62" customFormat="false" ht="15" hidden="false" customHeight="true" outlineLevel="0" collapsed="false">
      <c r="A62" s="10"/>
      <c r="B62" s="10"/>
      <c r="C62" s="10"/>
      <c r="D62" s="16"/>
      <c r="E62" s="10"/>
      <c r="F62" s="10"/>
      <c r="G62" s="10"/>
      <c r="H62" s="10"/>
      <c r="I62" s="10"/>
    </row>
    <row r="63" customFormat="false" ht="15" hidden="false" customHeight="true" outlineLevel="0" collapsed="false">
      <c r="A63" s="10"/>
      <c r="B63" s="10"/>
      <c r="C63" s="10"/>
      <c r="D63" s="16"/>
      <c r="E63" s="10"/>
      <c r="F63" s="10"/>
      <c r="G63" s="10"/>
      <c r="H63" s="10"/>
      <c r="I63" s="10"/>
    </row>
    <row r="64" customFormat="false" ht="15" hidden="false" customHeight="true" outlineLevel="0" collapsed="false">
      <c r="A64" s="10"/>
      <c r="B64" s="10"/>
      <c r="C64" s="10"/>
      <c r="D64" s="16"/>
      <c r="E64" s="10"/>
      <c r="F64" s="10"/>
      <c r="G64" s="10"/>
      <c r="H64" s="10"/>
      <c r="I64" s="10"/>
    </row>
    <row r="65" customFormat="false" ht="15" hidden="false" customHeight="true" outlineLevel="0" collapsed="false">
      <c r="A65" s="10"/>
      <c r="B65" s="10"/>
      <c r="C65" s="10"/>
      <c r="D65" s="16"/>
      <c r="E65" s="10"/>
      <c r="F65" s="10"/>
      <c r="G65" s="10"/>
      <c r="H65" s="10"/>
      <c r="I65" s="10"/>
    </row>
    <row r="66" customFormat="false" ht="15" hidden="false" customHeight="true" outlineLevel="0" collapsed="false">
      <c r="A66" s="10"/>
      <c r="B66" s="10"/>
      <c r="C66" s="10"/>
      <c r="D66" s="16"/>
      <c r="E66" s="10"/>
      <c r="F66" s="10"/>
      <c r="G66" s="10"/>
      <c r="H66" s="10"/>
      <c r="I66" s="10"/>
    </row>
    <row r="67" customFormat="false" ht="15" hidden="false" customHeight="true" outlineLevel="0" collapsed="false">
      <c r="A67" s="10"/>
      <c r="B67" s="10"/>
      <c r="C67" s="10"/>
      <c r="D67" s="16"/>
      <c r="E67" s="10"/>
      <c r="F67" s="10"/>
      <c r="G67" s="10"/>
      <c r="H67" s="10"/>
      <c r="I67" s="10"/>
    </row>
    <row r="68" customFormat="false" ht="15" hidden="false" customHeight="true" outlineLevel="0" collapsed="false">
      <c r="A68" s="10"/>
      <c r="B68" s="10"/>
      <c r="C68" s="10"/>
      <c r="D68" s="16"/>
      <c r="E68" s="10"/>
      <c r="F68" s="10"/>
      <c r="G68" s="10"/>
      <c r="H68" s="10"/>
      <c r="I68" s="10"/>
    </row>
    <row r="69" customFormat="false" ht="15" hidden="false" customHeight="true" outlineLevel="0" collapsed="false">
      <c r="A69" s="10"/>
      <c r="B69" s="10"/>
      <c r="C69" s="10"/>
      <c r="D69" s="16"/>
      <c r="E69" s="10"/>
      <c r="F69" s="10"/>
      <c r="G69" s="10"/>
      <c r="H69" s="10"/>
      <c r="I69" s="10"/>
    </row>
    <row r="70" customFormat="false" ht="15" hidden="false" customHeight="true" outlineLevel="0" collapsed="false">
      <c r="A70" s="10"/>
      <c r="B70" s="10"/>
      <c r="C70" s="10"/>
      <c r="D70" s="16"/>
      <c r="E70" s="10"/>
      <c r="F70" s="10"/>
      <c r="G70" s="10"/>
      <c r="H70" s="10"/>
      <c r="I70" s="10"/>
    </row>
    <row r="71" customFormat="false" ht="15" hidden="false" customHeight="true" outlineLevel="0" collapsed="false">
      <c r="A71" s="10"/>
      <c r="B71" s="10"/>
      <c r="C71" s="10"/>
      <c r="D71" s="16"/>
      <c r="E71" s="10"/>
      <c r="F71" s="10"/>
      <c r="G71" s="10"/>
      <c r="H71" s="10"/>
      <c r="I71" s="10"/>
    </row>
    <row r="72" customFormat="false" ht="15" hidden="false" customHeight="true" outlineLevel="0" collapsed="false">
      <c r="A72" s="10"/>
      <c r="B72" s="10"/>
      <c r="C72" s="10"/>
      <c r="D72" s="16"/>
      <c r="E72" s="10"/>
      <c r="F72" s="10"/>
      <c r="G72" s="10"/>
      <c r="H72" s="10"/>
      <c r="I72" s="10"/>
    </row>
    <row r="73" customFormat="false" ht="15" hidden="false" customHeight="true" outlineLevel="0" collapsed="false">
      <c r="A73" s="10"/>
      <c r="B73" s="10"/>
      <c r="C73" s="10"/>
      <c r="D73" s="16"/>
      <c r="E73" s="10"/>
      <c r="F73" s="10"/>
      <c r="G73" s="10"/>
      <c r="H73" s="10"/>
      <c r="I73" s="10"/>
    </row>
    <row r="74" customFormat="false" ht="15" hidden="false" customHeight="true" outlineLevel="0" collapsed="false">
      <c r="A74" s="10"/>
      <c r="B74" s="10"/>
      <c r="C74" s="10"/>
      <c r="D74" s="16"/>
      <c r="E74" s="10"/>
      <c r="F74" s="10"/>
      <c r="G74" s="10"/>
      <c r="H74" s="10"/>
      <c r="I74" s="10"/>
    </row>
    <row r="75" customFormat="false" ht="15" hidden="false" customHeight="true" outlineLevel="0" collapsed="false">
      <c r="A75" s="10"/>
      <c r="B75" s="10"/>
      <c r="C75" s="10"/>
      <c r="D75" s="16"/>
      <c r="E75" s="10"/>
      <c r="F75" s="10"/>
      <c r="G75" s="10"/>
      <c r="H75" s="10"/>
      <c r="I75" s="10"/>
    </row>
    <row r="76" customFormat="false" ht="15" hidden="false" customHeight="true" outlineLevel="0" collapsed="false">
      <c r="A76" s="10"/>
      <c r="B76" s="10"/>
      <c r="C76" s="10"/>
      <c r="D76" s="16"/>
      <c r="E76" s="10"/>
      <c r="F76" s="10"/>
      <c r="G76" s="10"/>
      <c r="H76" s="10"/>
      <c r="I76" s="10"/>
    </row>
    <row r="77" customFormat="false" ht="15" hidden="false" customHeight="true" outlineLevel="0" collapsed="false">
      <c r="A77" s="10"/>
      <c r="B77" s="10"/>
      <c r="C77" s="10"/>
      <c r="D77" s="16"/>
      <c r="E77" s="10"/>
      <c r="F77" s="10"/>
      <c r="G77" s="10"/>
      <c r="H77" s="10"/>
      <c r="I77" s="10"/>
    </row>
    <row r="78" customFormat="false" ht="15" hidden="false" customHeight="true" outlineLevel="0" collapsed="false">
      <c r="A78" s="10"/>
      <c r="B78" s="10"/>
      <c r="C78" s="10"/>
      <c r="D78" s="16"/>
      <c r="E78" s="10"/>
      <c r="F78" s="10"/>
      <c r="G78" s="10"/>
      <c r="H78" s="10"/>
      <c r="I78" s="10"/>
    </row>
    <row r="79" customFormat="false" ht="15" hidden="false" customHeight="true" outlineLevel="0" collapsed="false">
      <c r="A79" s="10"/>
      <c r="B79" s="10"/>
      <c r="C79" s="10"/>
      <c r="D79" s="16"/>
      <c r="E79" s="10"/>
      <c r="F79" s="10"/>
      <c r="G79" s="10"/>
      <c r="H79" s="10"/>
      <c r="I79" s="10"/>
    </row>
    <row r="80" customFormat="false" ht="15" hidden="false" customHeight="true" outlineLevel="0" collapsed="false">
      <c r="A80" s="10"/>
      <c r="B80" s="10"/>
      <c r="C80" s="10"/>
      <c r="D80" s="16"/>
      <c r="E80" s="10"/>
      <c r="F80" s="10"/>
      <c r="G80" s="10"/>
      <c r="H80" s="10"/>
      <c r="I80" s="10"/>
    </row>
    <row r="81" customFormat="false" ht="15" hidden="false" customHeight="true" outlineLevel="0" collapsed="false">
      <c r="A81" s="10"/>
      <c r="B81" s="10"/>
      <c r="C81" s="10"/>
      <c r="D81" s="16"/>
      <c r="E81" s="10"/>
      <c r="F81" s="10"/>
      <c r="G81" s="10"/>
      <c r="H81" s="10"/>
      <c r="I81" s="10"/>
    </row>
    <row r="82" customFormat="false" ht="15" hidden="false" customHeight="true" outlineLevel="0" collapsed="false">
      <c r="A82" s="10"/>
      <c r="B82" s="10"/>
      <c r="C82" s="10"/>
      <c r="D82" s="16"/>
      <c r="E82" s="10"/>
      <c r="F82" s="10"/>
      <c r="G82" s="10"/>
      <c r="H82" s="10"/>
      <c r="I82" s="10"/>
    </row>
    <row r="83" customFormat="false" ht="15" hidden="false" customHeight="true" outlineLevel="0" collapsed="false">
      <c r="A83" s="10"/>
      <c r="B83" s="10"/>
      <c r="C83" s="10"/>
      <c r="D83" s="16"/>
      <c r="E83" s="10"/>
      <c r="F83" s="10"/>
      <c r="G83" s="10"/>
      <c r="H83" s="10"/>
      <c r="I83" s="10"/>
    </row>
    <row r="84" customFormat="false" ht="15" hidden="false" customHeight="true" outlineLevel="0" collapsed="false">
      <c r="A84" s="10"/>
      <c r="B84" s="10"/>
      <c r="C84" s="10"/>
      <c r="D84" s="16"/>
      <c r="E84" s="10"/>
      <c r="F84" s="10"/>
      <c r="G84" s="10"/>
      <c r="H84" s="10"/>
      <c r="I84" s="10"/>
    </row>
    <row r="85" customFormat="false" ht="15" hidden="false" customHeight="true" outlineLevel="0" collapsed="false">
      <c r="A85" s="10"/>
      <c r="B85" s="10"/>
      <c r="C85" s="10"/>
      <c r="D85" s="16"/>
      <c r="E85" s="10"/>
      <c r="F85" s="10"/>
      <c r="G85" s="10"/>
      <c r="H85" s="10"/>
      <c r="I85" s="10"/>
    </row>
  </sheetData>
  <dataValidations count="1">
    <dataValidation allowBlank="true" error="Pick from: Housing, Groceries, Utilities, Transport, Childcare, Education…" errorStyle="stop" errorTitle="Invalid BudgetCat" operator="between" showDropDown="false" showErrorMessage="false" showInputMessage="false" sqref="E2:E1000" type="list">
      <formula1>Lists!$K$3:$K$18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8"/>
    <col collapsed="false" customWidth="true" hidden="false" outlineLevel="0" max="6" min="4" style="1" width="14"/>
    <col collapsed="false" customWidth="true" hidden="false" outlineLevel="0" max="7" min="7" style="1" width="28"/>
    <col collapsed="false" customWidth="true" hidden="false" outlineLevel="0" max="8" min="8" style="1" width="18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7" t="s">
        <v>170</v>
      </c>
      <c r="B1" s="7" t="s">
        <v>193</v>
      </c>
      <c r="C1" s="7" t="s">
        <v>194</v>
      </c>
      <c r="D1" s="7" t="s">
        <v>195</v>
      </c>
      <c r="E1" s="7" t="s">
        <v>196</v>
      </c>
      <c r="F1" s="7" t="s">
        <v>197</v>
      </c>
      <c r="G1" s="7" t="s">
        <v>39</v>
      </c>
      <c r="H1" s="17" t="s">
        <v>198</v>
      </c>
      <c r="I1" s="18" t="n">
        <f aca="true">TODAY()</f>
        <v>46169</v>
      </c>
    </row>
    <row r="2" customFormat="false" ht="15" hidden="false" customHeight="true" outlineLevel="0" collapsed="false">
      <c r="A2" s="10" t="s">
        <v>186</v>
      </c>
      <c r="B2" s="16" t="n">
        <v>8500</v>
      </c>
      <c r="C2" s="16" t="n">
        <f aca="false">IFERROR(-SUMIFS('Finance-Txns'!D:D,'Finance-Txns'!E:E,A2,'Finance-Txns'!A:A,"&gt;="&amp;DATE(YEAR($I$1),MONTH($I$1),1),'Finance-Txns'!A:A,"&lt;"&amp;DATE(YEAR($I$1),MONTH($I$1)+1,1)),0)</f>
        <v>6800</v>
      </c>
      <c r="D2" s="16" t="n">
        <f aca="false">B2-C2</f>
        <v>1700</v>
      </c>
      <c r="E2" s="19" t="n">
        <f aca="false">IFERROR(C2/B2,0)</f>
        <v>0.8</v>
      </c>
      <c r="F2" s="16" t="n">
        <f aca="false">IFERROR(-SUMIFS('Finance-Txns'!D:D,'Finance-Txns'!E:E,A2,'Finance-Txns'!A:A,"&gt;="&amp;DATE(YEAR($I$1),1,1),'Finance-Txns'!A:A,"&lt;="&amp;$I$1),0)</f>
        <v>6800</v>
      </c>
      <c r="G2" s="10"/>
      <c r="H2" s="20" t="s">
        <v>199</v>
      </c>
      <c r="I2" s="1" t="str">
        <f aca="false">TEXT(I1,"yyyy-mm")</f>
        <v>2026-05</v>
      </c>
    </row>
    <row r="3" customFormat="false" ht="15" hidden="false" customHeight="true" outlineLevel="0" collapsed="false">
      <c r="A3" s="10" t="s">
        <v>175</v>
      </c>
      <c r="B3" s="16" t="n">
        <v>4000</v>
      </c>
      <c r="C3" s="16" t="n">
        <f aca="false">IFERROR(-SUMIFS('Finance-Txns'!D:D,'Finance-Txns'!E:E,A3,'Finance-Txns'!A:A,"&gt;="&amp;DATE(YEAR($I$1),MONTH($I$1),1),'Finance-Txns'!A:A,"&lt;"&amp;DATE(YEAR($I$1),MONTH($I$1)+1,1)),0)</f>
        <v>432.5</v>
      </c>
      <c r="D3" s="16" t="n">
        <f aca="false">B3-C3</f>
        <v>3567.5</v>
      </c>
      <c r="E3" s="19" t="n">
        <f aca="false">IFERROR(C3/B3,0)</f>
        <v>0.108125</v>
      </c>
      <c r="F3" s="16" t="n">
        <f aca="false">IFERROR(-SUMIFS('Finance-Txns'!D:D,'Finance-Txns'!E:E,A3,'Finance-Txns'!A:A,"&gt;="&amp;DATE(YEAR($I$1),1,1),'Finance-Txns'!A:A,"&lt;="&amp;$I$1),0)</f>
        <v>432.5</v>
      </c>
      <c r="G3" s="10"/>
    </row>
    <row r="4" customFormat="false" ht="15" hidden="false" customHeight="true" outlineLevel="0" collapsed="false">
      <c r="A4" s="10" t="s">
        <v>181</v>
      </c>
      <c r="B4" s="16" t="n">
        <v>1500</v>
      </c>
      <c r="C4" s="16" t="n">
        <f aca="false">IFERROR(-SUMIFS('Finance-Txns'!D:D,'Finance-Txns'!E:E,A4,'Finance-Txns'!A:A,"&gt;="&amp;DATE(YEAR($I$1),MONTH($I$1),1),'Finance-Txns'!A:A,"&lt;"&amp;DATE(YEAR($I$1),MONTH($I$1)+1,1)),0)</f>
        <v>280</v>
      </c>
      <c r="D4" s="16" t="n">
        <f aca="false">B4-C4</f>
        <v>1220</v>
      </c>
      <c r="E4" s="19" t="n">
        <f aca="false">IFERROR(C4/B4,0)</f>
        <v>0.186666666666667</v>
      </c>
      <c r="F4" s="16" t="n">
        <f aca="false">IFERROR(-SUMIFS('Finance-Txns'!D:D,'Finance-Txns'!E:E,A4,'Finance-Txns'!A:A,"&gt;="&amp;DATE(YEAR($I$1),1,1),'Finance-Txns'!A:A,"&lt;="&amp;$I$1),0)</f>
        <v>280</v>
      </c>
      <c r="G4" s="10"/>
    </row>
    <row r="5" customFormat="false" ht="15" hidden="false" customHeight="true" outlineLevel="0" collapsed="false">
      <c r="A5" s="10" t="s">
        <v>200</v>
      </c>
      <c r="B5" s="16" t="n">
        <v>5000</v>
      </c>
      <c r="C5" s="16" t="n">
        <f aca="false">IFERROR(-SUMIFS('Finance-Txns'!D:D,'Finance-Txns'!E:E,A5,'Finance-Txns'!A:A,"&gt;="&amp;DATE(YEAR($I$1),MONTH($I$1),1),'Finance-Txns'!A:A,"&lt;"&amp;DATE(YEAR($I$1),MONTH($I$1)+1,1)),0)</f>
        <v>-0</v>
      </c>
      <c r="D5" s="16" t="n">
        <f aca="false">B5-C5</f>
        <v>5000</v>
      </c>
      <c r="E5" s="19" t="n">
        <f aca="false">IFERROR(C5/B5,0)</f>
        <v>-0</v>
      </c>
      <c r="F5" s="16" t="n">
        <f aca="false">IFERROR(-SUMIFS('Finance-Txns'!D:D,'Finance-Txns'!E:E,A5,'Finance-Txns'!A:A,"&gt;="&amp;DATE(YEAR($I$1),1,1),'Finance-Txns'!A:A,"&lt;="&amp;$I$1),0)</f>
        <v>-0</v>
      </c>
      <c r="G5" s="10"/>
    </row>
    <row r="6" customFormat="false" ht="15" hidden="false" customHeight="true" outlineLevel="0" collapsed="false">
      <c r="A6" s="10" t="s">
        <v>201</v>
      </c>
      <c r="B6" s="16" t="n">
        <v>1200</v>
      </c>
      <c r="C6" s="16" t="n">
        <f aca="false">IFERROR(-SUMIFS('Finance-Txns'!D:D,'Finance-Txns'!E:E,A6,'Finance-Txns'!A:A,"&gt;="&amp;DATE(YEAR($I$1),MONTH($I$1),1),'Finance-Txns'!A:A,"&lt;"&amp;DATE(YEAR($I$1),MONTH($I$1)+1,1)),0)</f>
        <v>-0</v>
      </c>
      <c r="D6" s="16" t="n">
        <f aca="false">B6-C6</f>
        <v>1200</v>
      </c>
      <c r="E6" s="19" t="n">
        <f aca="false">IFERROR(C6/B6,0)</f>
        <v>-0</v>
      </c>
      <c r="F6" s="16" t="n">
        <f aca="false">IFERROR(-SUMIFS('Finance-Txns'!D:D,'Finance-Txns'!E:E,A6,'Finance-Txns'!A:A,"&gt;="&amp;DATE(YEAR($I$1),1,1),'Finance-Txns'!A:A,"&lt;="&amp;$I$1),0)</f>
        <v>-0</v>
      </c>
      <c r="G6" s="10"/>
    </row>
    <row r="7" customFormat="false" ht="15" hidden="false" customHeight="true" outlineLevel="0" collapsed="false">
      <c r="A7" s="10" t="s">
        <v>126</v>
      </c>
      <c r="B7" s="16" t="n">
        <v>800</v>
      </c>
      <c r="C7" s="16" t="n">
        <f aca="false">IFERROR(-SUMIFS('Finance-Txns'!D:D,'Finance-Txns'!E:E,A7,'Finance-Txns'!A:A,"&gt;="&amp;DATE(YEAR($I$1),MONTH($I$1),1),'Finance-Txns'!A:A,"&lt;"&amp;DATE(YEAR($I$1),MONTH($I$1)+1,1)),0)</f>
        <v>-0</v>
      </c>
      <c r="D7" s="16" t="n">
        <f aca="false">B7-C7</f>
        <v>800</v>
      </c>
      <c r="E7" s="19" t="n">
        <f aca="false">IFERROR(C7/B7,0)</f>
        <v>-0</v>
      </c>
      <c r="F7" s="16" t="n">
        <f aca="false">IFERROR(-SUMIFS('Finance-Txns'!D:D,'Finance-Txns'!E:E,A7,'Finance-Txns'!A:A,"&gt;="&amp;DATE(YEAR($I$1),1,1),'Finance-Txns'!A:A,"&lt;="&amp;$I$1),0)</f>
        <v>-0</v>
      </c>
      <c r="G7" s="10"/>
    </row>
    <row r="8" customFormat="false" ht="15" hidden="false" customHeight="true" outlineLevel="0" collapsed="false">
      <c r="A8" s="10" t="s">
        <v>202</v>
      </c>
      <c r="B8" s="16" t="n">
        <v>800</v>
      </c>
      <c r="C8" s="16" t="n">
        <f aca="false">IFERROR(-SUMIFS('Finance-Txns'!D:D,'Finance-Txns'!E:E,A8,'Finance-Txns'!A:A,"&gt;="&amp;DATE(YEAR($I$1),MONTH($I$1),1),'Finance-Txns'!A:A,"&lt;"&amp;DATE(YEAR($I$1),MONTH($I$1)+1,1)),0)</f>
        <v>-0</v>
      </c>
      <c r="D8" s="16" t="n">
        <f aca="false">B8-C8</f>
        <v>800</v>
      </c>
      <c r="E8" s="19" t="n">
        <f aca="false">IFERROR(C8/B8,0)</f>
        <v>-0</v>
      </c>
      <c r="F8" s="16" t="n">
        <f aca="false">IFERROR(-SUMIFS('Finance-Txns'!D:D,'Finance-Txns'!E:E,A8,'Finance-Txns'!A:A,"&gt;="&amp;DATE(YEAR($I$1),1,1),'Finance-Txns'!A:A,"&lt;="&amp;$I$1),0)</f>
        <v>-0</v>
      </c>
      <c r="G8" s="10"/>
    </row>
    <row r="9" customFormat="false" ht="15" hidden="false" customHeight="true" outlineLevel="0" collapsed="false">
      <c r="A9" s="10" t="s">
        <v>203</v>
      </c>
      <c r="B9" s="16" t="n">
        <v>1000</v>
      </c>
      <c r="C9" s="16" t="n">
        <f aca="false">IFERROR(-SUMIFS('Finance-Txns'!D:D,'Finance-Txns'!E:E,A9,'Finance-Txns'!A:A,"&gt;="&amp;DATE(YEAR($I$1),MONTH($I$1),1),'Finance-Txns'!A:A,"&lt;"&amp;DATE(YEAR($I$1),MONTH($I$1)+1,1)),0)</f>
        <v>-0</v>
      </c>
      <c r="D9" s="16" t="n">
        <f aca="false">B9-C9</f>
        <v>1000</v>
      </c>
      <c r="E9" s="19" t="n">
        <f aca="false">IFERROR(C9/B9,0)</f>
        <v>-0</v>
      </c>
      <c r="F9" s="16" t="n">
        <f aca="false">IFERROR(-SUMIFS('Finance-Txns'!D:D,'Finance-Txns'!E:E,A9,'Finance-Txns'!A:A,"&gt;="&amp;DATE(YEAR($I$1),1,1),'Finance-Txns'!A:A,"&lt;="&amp;$I$1),0)</f>
        <v>-0</v>
      </c>
      <c r="G9" s="10"/>
    </row>
    <row r="10" customFormat="false" ht="15" hidden="false" customHeight="true" outlineLevel="0" collapsed="false">
      <c r="A10" s="10" t="s">
        <v>204</v>
      </c>
      <c r="B10" s="16" t="n">
        <v>400</v>
      </c>
      <c r="C10" s="16" t="n">
        <f aca="false">IFERROR(-SUMIFS('Finance-Txns'!D:D,'Finance-Txns'!E:E,A10,'Finance-Txns'!A:A,"&gt;="&amp;DATE(YEAR($I$1),MONTH($I$1),1),'Finance-Txns'!A:A,"&lt;"&amp;DATE(YEAR($I$1),MONTH($I$1)+1,1)),0)</f>
        <v>-0</v>
      </c>
      <c r="D10" s="16" t="n">
        <f aca="false">B10-C10</f>
        <v>400</v>
      </c>
      <c r="E10" s="19" t="n">
        <f aca="false">IFERROR(C10/B10,0)</f>
        <v>-0</v>
      </c>
      <c r="F10" s="16" t="n">
        <f aca="false">IFERROR(-SUMIFS('Finance-Txns'!D:D,'Finance-Txns'!E:E,A10,'Finance-Txns'!A:A,"&gt;="&amp;DATE(YEAR($I$1),1,1),'Finance-Txns'!A:A,"&lt;="&amp;$I$1),0)</f>
        <v>-0</v>
      </c>
      <c r="G10" s="10"/>
    </row>
    <row r="11" customFormat="false" ht="15" hidden="false" customHeight="true" outlineLevel="0" collapsed="false">
      <c r="A11" s="10" t="s">
        <v>158</v>
      </c>
      <c r="B11" s="16" t="n">
        <v>5000</v>
      </c>
      <c r="C11" s="16" t="n">
        <f aca="false">IFERROR(-SUMIFS('Finance-Txns'!D:D,'Finance-Txns'!E:E,A11,'Finance-Txns'!A:A,"&gt;="&amp;DATE(YEAR($I$1),MONTH($I$1),1),'Finance-Txns'!A:A,"&lt;"&amp;DATE(YEAR($I$1),MONTH($I$1)+1,1)),0)</f>
        <v>-0</v>
      </c>
      <c r="D11" s="16" t="n">
        <f aca="false">B11-C11</f>
        <v>5000</v>
      </c>
      <c r="E11" s="19" t="n">
        <f aca="false">IFERROR(C11/B11,0)</f>
        <v>-0</v>
      </c>
      <c r="F11" s="16" t="n">
        <f aca="false">IFERROR(-SUMIFS('Finance-Txns'!D:D,'Finance-Txns'!E:E,A11,'Finance-Txns'!A:A,"&gt;="&amp;DATE(YEAR($I$1),1,1),'Finance-Txns'!A:A,"&lt;="&amp;$I$1),0)</f>
        <v>-0</v>
      </c>
      <c r="G11" s="10"/>
    </row>
    <row r="12" customFormat="false" ht="15" hidden="false" customHeight="true" outlineLevel="0" collapsed="false">
      <c r="A12" s="10" t="s">
        <v>205</v>
      </c>
      <c r="B12" s="16" t="n">
        <v>500</v>
      </c>
      <c r="C12" s="16" t="n">
        <f aca="false">IFERROR(-SUMIFS('Finance-Txns'!D:D,'Finance-Txns'!E:E,A12,'Finance-Txns'!A:A,"&gt;="&amp;DATE(YEAR($I$1),MONTH($I$1),1),'Finance-Txns'!A:A,"&lt;"&amp;DATE(YEAR($I$1),MONTH($I$1)+1,1)),0)</f>
        <v>-0</v>
      </c>
      <c r="D12" s="16" t="n">
        <f aca="false">B12-C12</f>
        <v>500</v>
      </c>
      <c r="E12" s="19" t="n">
        <f aca="false">IFERROR(C12/B12,0)</f>
        <v>-0</v>
      </c>
      <c r="F12" s="16" t="n">
        <f aca="false">IFERROR(-SUMIFS('Finance-Txns'!D:D,'Finance-Txns'!E:E,A12,'Finance-Txns'!A:A,"&gt;="&amp;DATE(YEAR($I$1),1,1),'Finance-Txns'!A:A,"&lt;="&amp;$I$1),0)</f>
        <v>-0</v>
      </c>
      <c r="G12" s="10"/>
    </row>
    <row r="13" customFormat="false" ht="15" hidden="false" customHeight="true" outlineLevel="0" collapsed="false">
      <c r="A13" s="21" t="s">
        <v>206</v>
      </c>
      <c r="B13" s="22" t="n">
        <f aca="false">SUM(B2:B12)</f>
        <v>28700</v>
      </c>
      <c r="C13" s="22" t="n">
        <f aca="false">SUM(C2:C12)</f>
        <v>7512.5</v>
      </c>
      <c r="D13" s="22" t="n">
        <f aca="false">B13-C13</f>
        <v>21187.5</v>
      </c>
      <c r="E13" s="23" t="n">
        <f aca="false">IFERROR(C13/B13,0)</f>
        <v>0.261759581881533</v>
      </c>
      <c r="F13" s="22" t="n">
        <f aca="false">SUM(F2:F12)</f>
        <v>7512.5</v>
      </c>
      <c r="G13" s="24"/>
    </row>
    <row r="14" customFormat="false" ht="15" hidden="false" customHeight="true" outlineLevel="0" collapsed="false"/>
  </sheetData>
  <dataValidations count="1">
    <dataValidation allowBlank="true" error="Pick from: Housing, Groceries, Utilities, Transport, Childcare, Education…" errorStyle="stop" errorTitle="Invalid BudgetCat" operator="between" showDropDown="false" showErrorMessage="false" showInputMessage="false" sqref="A2:A1000" type="list">
      <formula1>Lists!$K$3:$K$18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36"/>
    <col collapsed="false" customWidth="true" hidden="false" outlineLevel="0" max="6" min="6" style="1" width="11"/>
    <col collapsed="false" customWidth="true" hidden="false" outlineLevel="0" max="8" min="7" style="1" width="12"/>
    <col collapsed="false" customWidth="true" hidden="false" outlineLevel="0" max="9" min="9" style="1" width="28"/>
  </cols>
  <sheetData>
    <row r="1" customFormat="false" ht="27.75" hidden="false" customHeight="true" outlineLevel="0" collapsed="false">
      <c r="A1" s="7" t="s">
        <v>207</v>
      </c>
      <c r="B1" s="7" t="s">
        <v>60</v>
      </c>
      <c r="C1" s="7" t="s">
        <v>208</v>
      </c>
      <c r="D1" s="7" t="s">
        <v>209</v>
      </c>
      <c r="E1" s="7" t="s">
        <v>210</v>
      </c>
      <c r="F1" s="7" t="s">
        <v>211</v>
      </c>
      <c r="G1" s="7" t="s">
        <v>212</v>
      </c>
      <c r="H1" s="7" t="s">
        <v>110</v>
      </c>
      <c r="I1" s="7" t="s">
        <v>39</v>
      </c>
    </row>
    <row r="2" customFormat="false" ht="36" hidden="false" customHeight="true" outlineLevel="0" collapsed="false">
      <c r="A2" s="8" t="s">
        <v>213</v>
      </c>
      <c r="B2" s="8" t="s">
        <v>77</v>
      </c>
      <c r="C2" s="8" t="s">
        <v>214</v>
      </c>
      <c r="D2" s="9" t="n">
        <v>47239</v>
      </c>
      <c r="E2" s="8" t="s">
        <v>215</v>
      </c>
      <c r="F2" s="8" t="n">
        <v>5</v>
      </c>
      <c r="G2" s="9" t="n">
        <v>46167</v>
      </c>
      <c r="H2" s="8" t="s">
        <v>216</v>
      </c>
      <c r="I2" s="8" t="s">
        <v>217</v>
      </c>
    </row>
    <row r="3" customFormat="false" ht="36" hidden="false" customHeight="true" outlineLevel="0" collapsed="false">
      <c r="A3" s="8" t="s">
        <v>218</v>
      </c>
      <c r="B3" s="8" t="s">
        <v>66</v>
      </c>
      <c r="C3" s="8" t="s">
        <v>219</v>
      </c>
      <c r="D3" s="9" t="n">
        <v>46508</v>
      </c>
      <c r="E3" s="8" t="s">
        <v>220</v>
      </c>
      <c r="F3" s="8" t="n">
        <v>20</v>
      </c>
      <c r="G3" s="9" t="n">
        <v>46167</v>
      </c>
      <c r="H3" s="8" t="s">
        <v>216</v>
      </c>
      <c r="I3" s="8"/>
    </row>
    <row r="4" customFormat="false" ht="36" hidden="false" customHeight="true" outlineLevel="0" collapsed="false">
      <c r="A4" s="8" t="s">
        <v>221</v>
      </c>
      <c r="B4" s="8" t="s">
        <v>72</v>
      </c>
      <c r="C4" s="8" t="s">
        <v>222</v>
      </c>
      <c r="D4" s="9" t="n">
        <v>46874</v>
      </c>
      <c r="E4" s="8" t="s">
        <v>223</v>
      </c>
      <c r="F4" s="8" t="n">
        <v>0</v>
      </c>
      <c r="G4" s="9" t="n">
        <v>46167</v>
      </c>
      <c r="H4" s="8" t="s">
        <v>224</v>
      </c>
      <c r="I4" s="8"/>
    </row>
    <row r="5" customFormat="false" ht="15" hidden="false" customHeight="true" outlineLevel="0" collapsed="false">
      <c r="A5" s="10"/>
      <c r="B5" s="10"/>
      <c r="C5" s="10"/>
      <c r="D5" s="10"/>
      <c r="E5" s="10"/>
      <c r="F5" s="10"/>
      <c r="G5" s="10"/>
      <c r="H5" s="10"/>
      <c r="I5" s="10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</sheetData>
  <dataValidations count="3">
    <dataValidation allowBlank="true" error="Pick from: Adar, Partner, Both, Child 1, Child 2, System…" errorStyle="stop" errorTitle="Invalid Owner" operator="between" showDropDown="false" showErrorMessage="false" showInputMessage="false" sqref="B2:B1000" type="list">
      <formula1>Lists!$B$3:$B$8</formula1>
      <formula2>0</formula2>
    </dataValidation>
    <dataValidation allowBlank="true" error="Pick from: 3 months, 6 months, 1 year, 3 years, 5 years, 10+ years…" errorStyle="stop" errorTitle="Invalid Horizon" operator="between" showDropDown="false" showErrorMessage="false" showInputMessage="false" sqref="C2:C1000" type="list">
      <formula1>Lists!$I$3:$I$8</formula1>
      <formula2>0</formula2>
    </dataValidation>
    <dataValidation allowBlank="true" error="Pick from: Not started, On track, At risk, Blocked, Done, Paused…" errorStyle="stop" errorTitle="Invalid GoalStatus" operator="between" showDropDown="false" showErrorMessage="false" showInputMessage="false" sqref="H2:H1000" type="list">
      <formula1>Lists!$J$3:$J$8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8" min="7" style="1" width="28"/>
    <col collapsed="false" customWidth="true" hidden="false" outlineLevel="0" max="9" min="9" style="1" width="24"/>
  </cols>
  <sheetData>
    <row r="1" customFormat="false" ht="27.75" hidden="false" customHeight="true" outlineLevel="0" collapsed="false">
      <c r="A1" s="7" t="s">
        <v>54</v>
      </c>
      <c r="B1" s="7" t="s">
        <v>225</v>
      </c>
      <c r="C1" s="7" t="s">
        <v>226</v>
      </c>
      <c r="D1" s="7" t="s">
        <v>227</v>
      </c>
      <c r="E1" s="7" t="s">
        <v>228</v>
      </c>
      <c r="F1" s="7" t="s">
        <v>145</v>
      </c>
      <c r="G1" s="7" t="s">
        <v>229</v>
      </c>
      <c r="H1" s="7" t="s">
        <v>230</v>
      </c>
      <c r="I1" s="7" t="s">
        <v>39</v>
      </c>
    </row>
    <row r="2" customFormat="false" ht="36" hidden="false" customHeight="true" outlineLevel="0" collapsed="false">
      <c r="A2" s="8" t="s">
        <v>53</v>
      </c>
      <c r="B2" s="8" t="s">
        <v>231</v>
      </c>
      <c r="C2" s="8" t="s">
        <v>232</v>
      </c>
      <c r="D2" s="8" t="s">
        <v>233</v>
      </c>
      <c r="E2" s="9" t="n">
        <v>46266</v>
      </c>
      <c r="F2" s="8" t="s">
        <v>234</v>
      </c>
      <c r="G2" s="8" t="s">
        <v>235</v>
      </c>
      <c r="H2" s="8" t="s">
        <v>236</v>
      </c>
      <c r="I2" s="8"/>
    </row>
    <row r="3" customFormat="false" ht="36" hidden="false" customHeight="true" outlineLevel="0" collapsed="false">
      <c r="A3" s="8" t="s">
        <v>53</v>
      </c>
      <c r="B3" s="8" t="s">
        <v>231</v>
      </c>
      <c r="C3" s="8" t="s">
        <v>232</v>
      </c>
      <c r="D3" s="8" t="s">
        <v>233</v>
      </c>
      <c r="E3" s="9" t="n">
        <v>46346</v>
      </c>
      <c r="F3" s="8" t="s">
        <v>237</v>
      </c>
      <c r="G3" s="8" t="s">
        <v>238</v>
      </c>
      <c r="H3" s="8" t="s">
        <v>236</v>
      </c>
      <c r="I3" s="8"/>
    </row>
    <row r="4" customFormat="false" ht="36" hidden="false" customHeight="true" outlineLevel="0" collapsed="false">
      <c r="A4" s="8" t="s">
        <v>56</v>
      </c>
      <c r="B4" s="8" t="s">
        <v>239</v>
      </c>
      <c r="C4" s="8" t="s">
        <v>240</v>
      </c>
      <c r="D4" s="8" t="s">
        <v>241</v>
      </c>
      <c r="E4" s="9" t="n">
        <v>46371</v>
      </c>
      <c r="F4" s="8" t="s">
        <v>130</v>
      </c>
      <c r="G4" s="8" t="s">
        <v>242</v>
      </c>
      <c r="H4" s="8" t="s">
        <v>243</v>
      </c>
      <c r="I4" s="8" t="s">
        <v>244</v>
      </c>
    </row>
    <row r="5" customFormat="false" ht="15" hidden="false" customHeight="true" outlineLevel="0" collapsed="false">
      <c r="A5" s="10"/>
      <c r="B5" s="10"/>
      <c r="C5" s="10"/>
      <c r="D5" s="10"/>
      <c r="E5" s="10"/>
      <c r="F5" s="10"/>
      <c r="G5" s="10"/>
      <c r="H5" s="10"/>
      <c r="I5" s="10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</sheetData>
  <conditionalFormatting sqref="E2:E1000">
    <cfRule type="expression" priority="2" aboveAverage="0" equalAverage="0" bottom="0" percent="0" rank="0" text="" dxfId="4">
      <formula>AND(ISNUMBER(E2),E2&lt;TODAY())</formula>
    </cfRule>
    <cfRule type="expression" priority="3" aboveAverage="0" equalAverage="0" bottom="0" percent="0" rank="0" text="" dxfId="0">
      <formula>AND(ISNUMBER(E2),E2-TODAY()&gt;=0,E2-TODAY()&lt;=30)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6" min="4" style="1" width="12"/>
    <col collapsed="false" customWidth="true" hidden="false" outlineLevel="0" max="7" min="7" style="1" width="28"/>
    <col collapsed="false" customWidth="true" hidden="false" outlineLevel="0" max="8" min="8" style="1" width="18"/>
    <col collapsed="false" customWidth="true" hidden="false" outlineLevel="0" max="9" min="9" style="1" width="24"/>
  </cols>
  <sheetData>
    <row r="1" customFormat="false" ht="27.75" hidden="false" customHeight="true" outlineLevel="0" collapsed="false">
      <c r="A1" s="7" t="s">
        <v>245</v>
      </c>
      <c r="B1" s="7" t="s">
        <v>246</v>
      </c>
      <c r="C1" s="7" t="s">
        <v>247</v>
      </c>
      <c r="D1" s="7" t="s">
        <v>248</v>
      </c>
      <c r="E1" s="7" t="s">
        <v>249</v>
      </c>
      <c r="F1" s="7" t="s">
        <v>250</v>
      </c>
      <c r="G1" s="7" t="s">
        <v>229</v>
      </c>
      <c r="H1" s="7" t="s">
        <v>230</v>
      </c>
      <c r="I1" s="7" t="s">
        <v>39</v>
      </c>
    </row>
    <row r="2" customFormat="false" ht="36" hidden="false" customHeight="true" outlineLevel="0" collapsed="false">
      <c r="A2" s="8" t="s">
        <v>40</v>
      </c>
      <c r="B2" s="8" t="s">
        <v>251</v>
      </c>
      <c r="C2" s="8" t="s">
        <v>252</v>
      </c>
      <c r="D2" s="9" t="n">
        <v>46032</v>
      </c>
      <c r="E2" s="9" t="n">
        <v>46397</v>
      </c>
      <c r="F2" s="8" t="s">
        <v>118</v>
      </c>
      <c r="G2" s="8" t="s">
        <v>253</v>
      </c>
      <c r="H2" s="8" t="s">
        <v>254</v>
      </c>
      <c r="I2" s="8"/>
    </row>
    <row r="3" customFormat="false" ht="36" hidden="false" customHeight="true" outlineLevel="0" collapsed="false">
      <c r="A3" s="8" t="s">
        <v>40</v>
      </c>
      <c r="B3" s="8" t="s">
        <v>255</v>
      </c>
      <c r="C3" s="8" t="s">
        <v>256</v>
      </c>
      <c r="D3" s="9" t="n">
        <v>46068</v>
      </c>
      <c r="E3" s="9" t="n">
        <v>46249</v>
      </c>
      <c r="F3" s="8" t="s">
        <v>128</v>
      </c>
      <c r="G3" s="8" t="s">
        <v>257</v>
      </c>
      <c r="H3" s="8" t="s">
        <v>254</v>
      </c>
      <c r="I3" s="8"/>
    </row>
    <row r="4" customFormat="false" ht="36" hidden="false" customHeight="true" outlineLevel="0" collapsed="false">
      <c r="A4" s="8" t="s">
        <v>48</v>
      </c>
      <c r="B4" s="8" t="s">
        <v>258</v>
      </c>
      <c r="C4" s="8" t="s">
        <v>252</v>
      </c>
      <c r="D4" s="9" t="n">
        <v>45966</v>
      </c>
      <c r="E4" s="9" t="n">
        <v>46331</v>
      </c>
      <c r="F4" s="8" t="s">
        <v>118</v>
      </c>
      <c r="G4" s="8"/>
      <c r="H4" s="8" t="s">
        <v>254</v>
      </c>
      <c r="I4" s="8"/>
    </row>
    <row r="5" customFormat="false" ht="36" hidden="false" customHeight="true" outlineLevel="0" collapsed="false">
      <c r="A5" s="8" t="s">
        <v>53</v>
      </c>
      <c r="B5" s="8" t="s">
        <v>251</v>
      </c>
      <c r="C5" s="8" t="s">
        <v>259</v>
      </c>
      <c r="D5" s="9" t="n">
        <v>46101</v>
      </c>
      <c r="E5" s="9" t="n">
        <v>46285</v>
      </c>
      <c r="F5" s="8" t="s">
        <v>128</v>
      </c>
      <c r="G5" s="8" t="s">
        <v>260</v>
      </c>
      <c r="H5" s="8" t="s">
        <v>254</v>
      </c>
      <c r="I5" s="8"/>
    </row>
    <row r="6" customFormat="false" ht="36" hidden="false" customHeight="true" outlineLevel="0" collapsed="false">
      <c r="A6" s="8" t="s">
        <v>53</v>
      </c>
      <c r="B6" s="8" t="s">
        <v>261</v>
      </c>
      <c r="C6" s="8" t="s">
        <v>262</v>
      </c>
      <c r="D6" s="9" t="n">
        <v>46113</v>
      </c>
      <c r="E6" s="9" t="n">
        <v>46296</v>
      </c>
      <c r="F6" s="8" t="s">
        <v>263</v>
      </c>
      <c r="G6" s="8" t="s">
        <v>264</v>
      </c>
      <c r="H6" s="8" t="s">
        <v>265</v>
      </c>
      <c r="I6" s="8"/>
    </row>
    <row r="7" customFormat="false" ht="36" hidden="false" customHeight="true" outlineLevel="0" collapsed="false">
      <c r="A7" s="8" t="s">
        <v>56</v>
      </c>
      <c r="B7" s="8" t="s">
        <v>261</v>
      </c>
      <c r="C7" s="8" t="s">
        <v>262</v>
      </c>
      <c r="D7" s="9" t="n">
        <v>46063</v>
      </c>
      <c r="E7" s="9" t="n">
        <v>46244</v>
      </c>
      <c r="F7" s="8" t="s">
        <v>263</v>
      </c>
      <c r="G7" s="8" t="s">
        <v>266</v>
      </c>
      <c r="H7" s="8" t="s">
        <v>265</v>
      </c>
      <c r="I7" s="8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</row>
  </sheetData>
  <conditionalFormatting sqref="E2:E1000">
    <cfRule type="expression" priority="2" aboveAverage="0" equalAverage="0" bottom="0" percent="0" rank="0" text="" dxfId="4">
      <formula>AND(ISNUMBER(E2),E2&lt;TODAY())</formula>
    </cfRule>
    <cfRule type="expression" priority="3" aboveAverage="0" equalAverage="0" bottom="0" percent="0" rank="0" text="" dxfId="0">
      <formula>AND(ISNUMBER(E2),E2-TODAY()&gt;=0,E2-TODAY()&lt;=30)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6" min="4" style="1" width="16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24"/>
  </cols>
  <sheetData>
    <row r="1" customFormat="false" ht="27.75" hidden="false" customHeight="true" outlineLevel="0" collapsed="false">
      <c r="A1" s="7" t="s">
        <v>267</v>
      </c>
      <c r="B1" s="7" t="s">
        <v>268</v>
      </c>
      <c r="C1" s="7" t="s">
        <v>60</v>
      </c>
      <c r="D1" s="7" t="s">
        <v>269</v>
      </c>
      <c r="E1" s="7" t="s">
        <v>270</v>
      </c>
      <c r="F1" s="7" t="s">
        <v>271</v>
      </c>
      <c r="G1" s="7" t="s">
        <v>272</v>
      </c>
      <c r="H1" s="7" t="s">
        <v>273</v>
      </c>
      <c r="I1" s="7" t="s">
        <v>39</v>
      </c>
    </row>
    <row r="2" customFormat="false" ht="36" hidden="false" customHeight="true" outlineLevel="0" collapsed="false">
      <c r="A2" s="8" t="s">
        <v>274</v>
      </c>
      <c r="B2" s="8" t="s">
        <v>275</v>
      </c>
      <c r="C2" s="8" t="s">
        <v>66</v>
      </c>
      <c r="D2" s="9" t="n">
        <v>46310</v>
      </c>
      <c r="E2" s="9" t="n">
        <v>46327</v>
      </c>
      <c r="F2" s="8" t="s">
        <v>276</v>
      </c>
      <c r="G2" s="9" t="n">
        <v>47557</v>
      </c>
      <c r="H2" s="8" t="s">
        <v>277</v>
      </c>
      <c r="I2" s="8" t="s">
        <v>278</v>
      </c>
    </row>
    <row r="3" customFormat="false" ht="1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</row>
    <row r="4" customFormat="false" ht="1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</row>
    <row r="5" customFormat="false" ht="15" hidden="false" customHeight="true" outlineLevel="0" collapsed="false">
      <c r="A5" s="10"/>
      <c r="B5" s="10"/>
      <c r="C5" s="10"/>
      <c r="D5" s="10"/>
      <c r="E5" s="10"/>
      <c r="F5" s="10"/>
      <c r="G5" s="10"/>
      <c r="H5" s="10"/>
      <c r="I5" s="10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</row>
  </sheetData>
  <conditionalFormatting sqref="D2:D1000">
    <cfRule type="expression" priority="2" aboveAverage="0" equalAverage="0" bottom="0" percent="0" rank="0" text="" dxfId="4">
      <formula>AND(ISNUMBER(D2),D2&lt;TODAY())</formula>
    </cfRule>
    <cfRule type="expression" priority="3" aboveAverage="0" equalAverage="0" bottom="0" percent="0" rank="0" text="" dxfId="0">
      <formula>AND(ISNUMBER(D2),D2-TODAY()&gt;=0,D2-TODAY()&lt;=30)</formula>
    </cfRule>
  </conditionalFormatting>
  <conditionalFormatting sqref="E2:E1000">
    <cfRule type="expression" priority="4" aboveAverage="0" equalAverage="0" bottom="0" percent="0" rank="0" text="" dxfId="4">
      <formula>AND(ISNUMBER(E2),E2&lt;TODAY())</formula>
    </cfRule>
    <cfRule type="expression" priority="5" aboveAverage="0" equalAverage="0" bottom="0" percent="0" rank="0" text="" dxfId="0">
      <formula>AND(ISNUMBER(E2),E2-TODAY()&gt;=0,E2-TODAY()&lt;=30)</formula>
    </cfRule>
  </conditionalFormatting>
  <conditionalFormatting sqref="G2:G1000">
    <cfRule type="expression" priority="6" aboveAverage="0" equalAverage="0" bottom="0" percent="0" rank="0" text="" dxfId="4">
      <formula>AND(ISNUMBER(G2),G2&lt;TODAY())</formula>
    </cfRule>
    <cfRule type="expression" priority="7" aboveAverage="0" equalAverage="0" bottom="0" percent="0" rank="0" text="" dxfId="0">
      <formula>AND(ISNUMBER(G2),G2-TODAY()&gt;=0,G2-TODAY()&lt;=30)</formula>
    </cfRule>
  </conditionalFormatting>
  <dataValidations count="1">
    <dataValidation allowBlank="true" error="Pick from: Adar, Partner, Both, Child 1, Child 2, System…" errorStyle="stop" errorTitle="Invalid Owner" operator="between" showDropDown="false" showErrorMessage="false" showInputMessage="false" sqref="C2:C1000" type="list">
      <formula1>Lists!$B$3:$B$8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28"/>
  </cols>
  <sheetData>
    <row r="1" customFormat="false" ht="27.75" hidden="false" customHeight="true" outlineLevel="0" collapsed="false">
      <c r="A1" s="7" t="s">
        <v>31</v>
      </c>
      <c r="B1" s="7" t="s">
        <v>32</v>
      </c>
      <c r="C1" s="7" t="s">
        <v>279</v>
      </c>
      <c r="D1" s="7" t="s">
        <v>280</v>
      </c>
      <c r="E1" s="7" t="s">
        <v>281</v>
      </c>
      <c r="F1" s="7" t="s">
        <v>39</v>
      </c>
    </row>
    <row r="2" customFormat="false" ht="36" hidden="false" customHeight="true" outlineLevel="0" collapsed="false">
      <c r="A2" s="8" t="s">
        <v>44</v>
      </c>
      <c r="B2" s="8" t="s">
        <v>282</v>
      </c>
      <c r="C2" s="8" t="s">
        <v>283</v>
      </c>
      <c r="D2" s="8" t="s">
        <v>284</v>
      </c>
      <c r="E2" s="8" t="s">
        <v>126</v>
      </c>
      <c r="F2" s="8" t="s">
        <v>285</v>
      </c>
    </row>
    <row r="3" customFormat="false" ht="36" hidden="false" customHeight="true" outlineLevel="0" collapsed="false">
      <c r="A3" s="8" t="s">
        <v>286</v>
      </c>
      <c r="B3" s="8" t="s">
        <v>287</v>
      </c>
      <c r="C3" s="8" t="s">
        <v>283</v>
      </c>
      <c r="D3" s="8"/>
      <c r="E3" s="8" t="s">
        <v>116</v>
      </c>
      <c r="F3" s="8"/>
    </row>
    <row r="4" customFormat="false" ht="36" hidden="false" customHeight="true" outlineLevel="0" collapsed="false">
      <c r="A4" s="8" t="s">
        <v>288</v>
      </c>
      <c r="B4" s="8" t="s">
        <v>289</v>
      </c>
      <c r="C4" s="8" t="s">
        <v>283</v>
      </c>
      <c r="D4" s="8" t="s">
        <v>284</v>
      </c>
      <c r="E4" s="8" t="s">
        <v>131</v>
      </c>
      <c r="F4" s="8" t="s">
        <v>290</v>
      </c>
    </row>
    <row r="5" customFormat="false" ht="36" hidden="false" customHeight="true" outlineLevel="0" collapsed="false">
      <c r="A5" s="8" t="s">
        <v>291</v>
      </c>
      <c r="B5" s="8" t="s">
        <v>292</v>
      </c>
      <c r="C5" s="8" t="s">
        <v>283</v>
      </c>
      <c r="D5" s="8" t="s">
        <v>284</v>
      </c>
      <c r="E5" s="8" t="s">
        <v>293</v>
      </c>
      <c r="F5" s="8" t="s">
        <v>294</v>
      </c>
    </row>
    <row r="6" customFormat="false" ht="36" hidden="false" customHeight="true" outlineLevel="0" collapsed="false">
      <c r="A6" s="8" t="s">
        <v>295</v>
      </c>
      <c r="B6" s="8" t="s">
        <v>296</v>
      </c>
      <c r="C6" s="8" t="s">
        <v>283</v>
      </c>
      <c r="D6" s="8" t="s">
        <v>284</v>
      </c>
      <c r="E6" s="8" t="s">
        <v>138</v>
      </c>
      <c r="F6" s="8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</row>
  </sheetData>
  <dataValidations count="1">
    <dataValidation allowBlank="true" error="Pick from: Calendar, Finance, Goals, Education, Health, Car…" errorStyle="stop" errorTitle="Invalid Domain" operator="between" showDropDown="false" showErrorMessage="false" showInputMessage="false" sqref="E2:E1000" type="list">
      <formula1>Lists!$A$3:$A$12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7" min="5" style="1" width="14"/>
    <col collapsed="false" customWidth="true" hidden="false" outlineLevel="0" max="8" min="8" style="1" width="12"/>
    <col collapsed="false" customWidth="true" hidden="false" outlineLevel="0" max="9" min="9" style="1" width="28"/>
  </cols>
  <sheetData>
    <row r="1" customFormat="false" ht="27.75" hidden="false" customHeight="true" outlineLevel="0" collapsed="false">
      <c r="A1" s="7" t="s">
        <v>297</v>
      </c>
      <c r="B1" s="7" t="s">
        <v>246</v>
      </c>
      <c r="C1" s="7" t="s">
        <v>145</v>
      </c>
      <c r="D1" s="7" t="s">
        <v>298</v>
      </c>
      <c r="E1" s="7" t="s">
        <v>299</v>
      </c>
      <c r="F1" s="7" t="s">
        <v>300</v>
      </c>
      <c r="G1" s="7" t="s">
        <v>301</v>
      </c>
      <c r="H1" s="7" t="s">
        <v>302</v>
      </c>
      <c r="I1" s="7" t="s">
        <v>39</v>
      </c>
    </row>
    <row r="2" customFormat="false" ht="36" hidden="false" customHeight="true" outlineLevel="0" collapsed="false">
      <c r="A2" s="8" t="s">
        <v>303</v>
      </c>
      <c r="B2" s="8" t="s">
        <v>153</v>
      </c>
      <c r="C2" s="8" t="s">
        <v>187</v>
      </c>
      <c r="D2" s="9" t="n">
        <v>45444</v>
      </c>
      <c r="E2" s="8" t="s">
        <v>304</v>
      </c>
      <c r="F2" s="15" t="n">
        <v>6800</v>
      </c>
      <c r="G2" s="15" t="n">
        <v>81600</v>
      </c>
      <c r="H2" s="8" t="s">
        <v>305</v>
      </c>
      <c r="I2" s="8" t="s">
        <v>306</v>
      </c>
    </row>
    <row r="3" customFormat="false" ht="36" hidden="false" customHeight="true" outlineLevel="0" collapsed="false">
      <c r="A3" s="8" t="s">
        <v>307</v>
      </c>
      <c r="B3" s="8" t="s">
        <v>276</v>
      </c>
      <c r="C3" s="8" t="s">
        <v>308</v>
      </c>
      <c r="D3" s="9" t="n">
        <v>45901</v>
      </c>
      <c r="E3" s="9" t="n">
        <v>46266</v>
      </c>
      <c r="F3" s="15" t="n">
        <v>320</v>
      </c>
      <c r="G3" s="15" t="n">
        <v>3840</v>
      </c>
      <c r="H3" s="8" t="s">
        <v>305</v>
      </c>
      <c r="I3" s="8"/>
    </row>
    <row r="4" customFormat="false" ht="36" hidden="false" customHeight="true" outlineLevel="0" collapsed="false">
      <c r="A4" s="8" t="s">
        <v>309</v>
      </c>
      <c r="B4" s="8" t="s">
        <v>276</v>
      </c>
      <c r="C4" s="8" t="s">
        <v>308</v>
      </c>
      <c r="D4" s="9" t="n">
        <v>45962</v>
      </c>
      <c r="E4" s="9" t="n">
        <v>46327</v>
      </c>
      <c r="F4" s="15" t="n">
        <v>580</v>
      </c>
      <c r="G4" s="15" t="n">
        <v>6960</v>
      </c>
      <c r="H4" s="8" t="s">
        <v>310</v>
      </c>
      <c r="I4" s="8" t="s">
        <v>311</v>
      </c>
    </row>
    <row r="5" customFormat="false" ht="36" hidden="false" customHeight="true" outlineLevel="0" collapsed="false">
      <c r="A5" s="8" t="s">
        <v>312</v>
      </c>
      <c r="B5" s="8" t="s">
        <v>313</v>
      </c>
      <c r="C5" s="8" t="s">
        <v>314</v>
      </c>
      <c r="D5" s="8" t="s">
        <v>304</v>
      </c>
      <c r="E5" s="8" t="s">
        <v>304</v>
      </c>
      <c r="F5" s="15" t="n">
        <v>550</v>
      </c>
      <c r="G5" s="15" t="n">
        <v>6600</v>
      </c>
      <c r="H5" s="8" t="s">
        <v>305</v>
      </c>
      <c r="I5" s="8" t="s">
        <v>315</v>
      </c>
    </row>
    <row r="6" customFormat="false" ht="36" hidden="false" customHeight="true" outlineLevel="0" collapsed="false">
      <c r="A6" s="8" t="s">
        <v>316</v>
      </c>
      <c r="B6" s="8" t="s">
        <v>317</v>
      </c>
      <c r="C6" s="8" t="s">
        <v>314</v>
      </c>
      <c r="D6" s="9" t="n">
        <v>45658</v>
      </c>
      <c r="E6" s="9" t="n">
        <v>46388</v>
      </c>
      <c r="F6" s="15" t="n">
        <v>99</v>
      </c>
      <c r="G6" s="15" t="n">
        <v>1188</v>
      </c>
      <c r="H6" s="8" t="s">
        <v>305</v>
      </c>
      <c r="I6" s="8"/>
    </row>
    <row r="7" customFormat="false" ht="36" hidden="false" customHeight="true" outlineLevel="0" collapsed="false">
      <c r="A7" s="8" t="s">
        <v>318</v>
      </c>
      <c r="B7" s="8" t="s">
        <v>319</v>
      </c>
      <c r="C7" s="8" t="s">
        <v>314</v>
      </c>
      <c r="D7" s="8" t="s">
        <v>304</v>
      </c>
      <c r="E7" s="8" t="s">
        <v>304</v>
      </c>
      <c r="F7" s="15" t="n">
        <v>49</v>
      </c>
      <c r="G7" s="15" t="n">
        <v>588</v>
      </c>
      <c r="H7" s="8" t="s">
        <v>305</v>
      </c>
      <c r="I7" s="8"/>
    </row>
    <row r="8" customFormat="false" ht="15" hidden="false" customHeight="true" outlineLevel="0" collapsed="false">
      <c r="A8" s="10"/>
      <c r="B8" s="10"/>
      <c r="C8" s="10"/>
      <c r="D8" s="10"/>
      <c r="E8" s="10"/>
      <c r="F8" s="16"/>
      <c r="G8" s="16"/>
      <c r="H8" s="10"/>
      <c r="I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6"/>
      <c r="G9" s="16"/>
      <c r="H9" s="10"/>
      <c r="I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6"/>
      <c r="G10" s="16"/>
      <c r="H10" s="10"/>
      <c r="I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6"/>
      <c r="G11" s="16"/>
      <c r="H11" s="10"/>
      <c r="I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6"/>
      <c r="G12" s="16"/>
      <c r="H12" s="10"/>
      <c r="I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6"/>
      <c r="G13" s="16"/>
      <c r="H13" s="10"/>
      <c r="I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6"/>
      <c r="G14" s="16"/>
      <c r="H14" s="10"/>
      <c r="I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6"/>
      <c r="G15" s="16"/>
      <c r="H15" s="10"/>
      <c r="I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6"/>
      <c r="G16" s="16"/>
      <c r="H16" s="10"/>
      <c r="I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6"/>
      <c r="G17" s="16"/>
      <c r="H17" s="10"/>
      <c r="I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6"/>
      <c r="G18" s="16"/>
      <c r="H18" s="10"/>
      <c r="I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6"/>
      <c r="G19" s="16"/>
      <c r="H19" s="10"/>
      <c r="I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6"/>
      <c r="G20" s="16"/>
      <c r="H20" s="10"/>
      <c r="I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6"/>
      <c r="G21" s="16"/>
      <c r="H21" s="10"/>
      <c r="I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6"/>
      <c r="G22" s="16"/>
      <c r="H22" s="10"/>
      <c r="I22" s="10"/>
    </row>
  </sheetData>
  <conditionalFormatting sqref="E2:E1000">
    <cfRule type="expression" priority="2" aboveAverage="0" equalAverage="0" bottom="0" percent="0" rank="0" text="" dxfId="4">
      <formula>AND(ISNUMBER(E2),E2&lt;TODAY())</formula>
    </cfRule>
    <cfRule type="expression" priority="3" aboveAverage="0" equalAverage="0" bottom="0" percent="0" rank="0" text="" dxfId="0">
      <formula>AND(ISNUMBER(E2),E2-TODAY()&gt;=0,E2-TODAY()&lt;=30)</formula>
    </cfRule>
  </conditionalFormatting>
  <dataValidations count="2">
    <dataValidation allowBlank="true" error="Pick from: Mortgage, Rent, Insurance, Utility, Subscription, Telecom…" errorStyle="stop" errorTitle="Invalid ContractType" operator="between" showDropDown="false" showErrorMessage="false" showInputMessage="false" sqref="C2:C1000" type="list">
      <formula1>Lists!$L$3:$L$9</formula1>
      <formula2>0</formula2>
    </dataValidation>
    <dataValidation allowBlank="true" error="Pick from: Yes, No, Unknown…" errorStyle="stop" errorTitle="Invalid AutoRenew" operator="between" showDropDown="false" showErrorMessage="false" showInputMessage="false" sqref="H2:H1000" type="list">
      <formula1>Lists!$M$3:$M$5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5" min="1" style="1" width="16"/>
  </cols>
  <sheetData>
    <row r="1" customFormat="false" ht="15" hidden="false" customHeight="true" outlineLevel="0" collapsed="false">
      <c r="A1" s="25" t="s">
        <v>320</v>
      </c>
    </row>
    <row r="2" customFormat="false" ht="15" hidden="false" customHeight="true" outlineLevel="0" collapsed="false">
      <c r="A2" s="26" t="s">
        <v>106</v>
      </c>
      <c r="B2" s="26" t="s">
        <v>60</v>
      </c>
      <c r="C2" s="26" t="s">
        <v>110</v>
      </c>
      <c r="D2" s="26" t="s">
        <v>112</v>
      </c>
      <c r="E2" s="26" t="s">
        <v>109</v>
      </c>
      <c r="F2" s="26" t="s">
        <v>148</v>
      </c>
      <c r="G2" s="26" t="s">
        <v>321</v>
      </c>
      <c r="H2" s="26" t="s">
        <v>322</v>
      </c>
      <c r="I2" s="26" t="s">
        <v>208</v>
      </c>
      <c r="J2" s="26" t="s">
        <v>323</v>
      </c>
      <c r="K2" s="26" t="s">
        <v>324</v>
      </c>
      <c r="L2" s="26" t="s">
        <v>325</v>
      </c>
      <c r="M2" s="26" t="s">
        <v>326</v>
      </c>
      <c r="N2" s="26" t="s">
        <v>327</v>
      </c>
      <c r="O2" s="26" t="s">
        <v>328</v>
      </c>
    </row>
    <row r="3" customFormat="false" ht="15" hidden="false" customHeight="true" outlineLevel="0" collapsed="false">
      <c r="A3" s="1" t="s">
        <v>329</v>
      </c>
      <c r="B3" s="1" t="s">
        <v>66</v>
      </c>
      <c r="C3" s="1" t="s">
        <v>119</v>
      </c>
      <c r="D3" s="1" t="s">
        <v>120</v>
      </c>
      <c r="E3" s="1" t="s">
        <v>330</v>
      </c>
      <c r="F3" s="1" t="s">
        <v>155</v>
      </c>
      <c r="G3" s="1" t="s">
        <v>152</v>
      </c>
      <c r="H3" s="1" t="s">
        <v>68</v>
      </c>
      <c r="I3" s="1" t="s">
        <v>331</v>
      </c>
      <c r="J3" s="1" t="s">
        <v>224</v>
      </c>
      <c r="K3" s="1" t="s">
        <v>186</v>
      </c>
      <c r="L3" s="1" t="s">
        <v>187</v>
      </c>
      <c r="M3" s="1" t="s">
        <v>305</v>
      </c>
      <c r="N3" s="1" t="s">
        <v>51</v>
      </c>
      <c r="O3" s="1" t="s">
        <v>43</v>
      </c>
    </row>
    <row r="4" customFormat="false" ht="15" hidden="false" customHeight="true" outlineLevel="0" collapsed="false">
      <c r="A4" s="1" t="s">
        <v>138</v>
      </c>
      <c r="B4" s="1" t="s">
        <v>72</v>
      </c>
      <c r="C4" s="1" t="s">
        <v>332</v>
      </c>
      <c r="D4" s="1" t="s">
        <v>280</v>
      </c>
      <c r="E4" s="1" t="s">
        <v>333</v>
      </c>
      <c r="F4" s="1" t="s">
        <v>334</v>
      </c>
      <c r="G4" s="1" t="s">
        <v>158</v>
      </c>
      <c r="H4" s="1" t="s">
        <v>335</v>
      </c>
      <c r="I4" s="1" t="s">
        <v>336</v>
      </c>
      <c r="J4" s="1" t="s">
        <v>216</v>
      </c>
      <c r="K4" s="1" t="s">
        <v>175</v>
      </c>
      <c r="L4" s="1" t="s">
        <v>337</v>
      </c>
      <c r="M4" s="1" t="s">
        <v>310</v>
      </c>
      <c r="N4" s="1" t="s">
        <v>338</v>
      </c>
      <c r="O4" s="1" t="s">
        <v>49</v>
      </c>
    </row>
    <row r="5" customFormat="false" ht="15" hidden="false" customHeight="true" outlineLevel="0" collapsed="false">
      <c r="A5" s="1" t="s">
        <v>339</v>
      </c>
      <c r="B5" s="1" t="s">
        <v>77</v>
      </c>
      <c r="C5" s="1" t="s">
        <v>340</v>
      </c>
      <c r="D5" s="1" t="s">
        <v>46</v>
      </c>
      <c r="E5" s="1" t="s">
        <v>341</v>
      </c>
      <c r="F5" s="1" t="s">
        <v>342</v>
      </c>
      <c r="G5" s="1" t="s">
        <v>161</v>
      </c>
      <c r="H5" s="1" t="s">
        <v>343</v>
      </c>
      <c r="I5" s="1" t="s">
        <v>219</v>
      </c>
      <c r="J5" s="1" t="s">
        <v>344</v>
      </c>
      <c r="K5" s="1" t="s">
        <v>201</v>
      </c>
      <c r="L5" s="1" t="s">
        <v>308</v>
      </c>
      <c r="M5" s="1" t="s">
        <v>345</v>
      </c>
      <c r="N5" s="1" t="s">
        <v>346</v>
      </c>
      <c r="O5" s="1" t="s">
        <v>347</v>
      </c>
    </row>
    <row r="6" customFormat="false" ht="15" hidden="false" customHeight="true" outlineLevel="0" collapsed="false">
      <c r="A6" s="1" t="s">
        <v>131</v>
      </c>
      <c r="B6" s="1" t="s">
        <v>348</v>
      </c>
      <c r="C6" s="1" t="s">
        <v>349</v>
      </c>
      <c r="E6" s="1" t="s">
        <v>350</v>
      </c>
      <c r="F6" s="1" t="s">
        <v>351</v>
      </c>
      <c r="G6" s="1" t="s">
        <v>352</v>
      </c>
      <c r="H6" s="1" t="s">
        <v>353</v>
      </c>
      <c r="I6" s="1" t="s">
        <v>214</v>
      </c>
      <c r="J6" s="1" t="s">
        <v>354</v>
      </c>
      <c r="K6" s="1" t="s">
        <v>181</v>
      </c>
      <c r="L6" s="1" t="s">
        <v>314</v>
      </c>
      <c r="N6" s="1" t="s">
        <v>355</v>
      </c>
      <c r="O6" s="1" t="s">
        <v>356</v>
      </c>
    </row>
    <row r="7" customFormat="false" ht="15" hidden="false" customHeight="true" outlineLevel="0" collapsed="false">
      <c r="A7" s="1" t="s">
        <v>126</v>
      </c>
      <c r="B7" s="1" t="s">
        <v>357</v>
      </c>
      <c r="C7" s="1" t="s">
        <v>358</v>
      </c>
      <c r="E7" s="1" t="s">
        <v>140</v>
      </c>
      <c r="G7" s="1" t="s">
        <v>359</v>
      </c>
      <c r="I7" s="1" t="s">
        <v>360</v>
      </c>
      <c r="J7" s="1" t="s">
        <v>349</v>
      </c>
      <c r="K7" s="1" t="s">
        <v>200</v>
      </c>
      <c r="L7" s="1" t="s">
        <v>361</v>
      </c>
      <c r="N7" s="1" t="s">
        <v>45</v>
      </c>
      <c r="O7" s="1" t="s">
        <v>205</v>
      </c>
    </row>
    <row r="8" customFormat="false" ht="15" hidden="false" customHeight="true" outlineLevel="0" collapsed="false">
      <c r="A8" s="1" t="s">
        <v>116</v>
      </c>
      <c r="B8" s="1" t="s">
        <v>103</v>
      </c>
      <c r="C8" s="1" t="s">
        <v>362</v>
      </c>
      <c r="E8" s="1" t="s">
        <v>118</v>
      </c>
      <c r="G8" s="1" t="s">
        <v>205</v>
      </c>
      <c r="I8" s="1" t="s">
        <v>363</v>
      </c>
      <c r="J8" s="1" t="s">
        <v>364</v>
      </c>
      <c r="K8" s="1" t="s">
        <v>131</v>
      </c>
      <c r="L8" s="1" t="s">
        <v>365</v>
      </c>
      <c r="N8" s="1" t="s">
        <v>366</v>
      </c>
    </row>
    <row r="9" customFormat="false" ht="15" hidden="false" customHeight="true" outlineLevel="0" collapsed="false">
      <c r="A9" s="1" t="s">
        <v>367</v>
      </c>
      <c r="E9" s="1" t="s">
        <v>368</v>
      </c>
      <c r="K9" s="1" t="s">
        <v>126</v>
      </c>
      <c r="L9" s="1" t="s">
        <v>205</v>
      </c>
      <c r="N9" s="1" t="s">
        <v>369</v>
      </c>
    </row>
    <row r="10" customFormat="false" ht="15" hidden="false" customHeight="true" outlineLevel="0" collapsed="false">
      <c r="A10" s="1" t="s">
        <v>293</v>
      </c>
      <c r="K10" s="1" t="s">
        <v>203</v>
      </c>
      <c r="N10" s="1" t="s">
        <v>370</v>
      </c>
    </row>
    <row r="11" customFormat="false" ht="15" hidden="false" customHeight="true" outlineLevel="0" collapsed="false">
      <c r="A11" s="1" t="s">
        <v>371</v>
      </c>
      <c r="K11" s="1" t="s">
        <v>202</v>
      </c>
      <c r="N11" s="1" t="s">
        <v>345</v>
      </c>
    </row>
    <row r="12" customFormat="false" ht="15" hidden="false" customHeight="true" outlineLevel="0" collapsed="false">
      <c r="A12" s="1" t="s">
        <v>205</v>
      </c>
      <c r="K12" s="1" t="s">
        <v>372</v>
      </c>
    </row>
    <row r="13" customFormat="false" ht="15" hidden="false" customHeight="true" outlineLevel="0" collapsed="false">
      <c r="K13" s="1" t="s">
        <v>373</v>
      </c>
    </row>
    <row r="14" customFormat="false" ht="15" hidden="false" customHeight="true" outlineLevel="0" collapsed="false">
      <c r="K14" s="1" t="s">
        <v>308</v>
      </c>
    </row>
    <row r="15" customFormat="false" ht="15" hidden="false" customHeight="true" outlineLevel="0" collapsed="false">
      <c r="K15" s="1" t="s">
        <v>204</v>
      </c>
    </row>
    <row r="16" customFormat="false" ht="15" hidden="false" customHeight="true" outlineLevel="0" collapsed="false">
      <c r="K16" s="1" t="s">
        <v>374</v>
      </c>
    </row>
    <row r="17" customFormat="false" ht="15" hidden="false" customHeight="true" outlineLevel="0" collapsed="false">
      <c r="K17" s="1" t="s">
        <v>158</v>
      </c>
    </row>
    <row r="18" customFormat="false" ht="15" hidden="false" customHeight="true" outlineLevel="0" collapsed="false">
      <c r="K18" s="1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2026-05-25T19:38:55Z</dcterms:created>
  <dc:creator>openpyxl</dc:creator>
  <dc:description/>
  <dc:language>en-US</dc:language>
  <cp:lastModifiedBy/>
  <dcterms:modified xsi:type="dcterms:W3CDTF">2026-05-27T09:05:36Z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